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office\Desktop\git_final\innosysit-iorder-website\assets\excel\"/>
    </mc:Choice>
  </mc:AlternateContent>
  <bookViews>
    <workbookView xWindow="0" yWindow="495" windowWidth="38400" windowHeight="21105"/>
  </bookViews>
  <sheets>
    <sheet name="견적서" sheetId="4" r:id="rId1"/>
  </sheets>
  <externalReferences>
    <externalReference r:id="rId2"/>
    <externalReference r:id="rId3"/>
  </externalReferences>
  <definedNames>
    <definedName name="_303" localSheetId="0">#REF!</definedName>
    <definedName name="_303">#REF!</definedName>
    <definedName name="_3034" localSheetId="0">'[1]한샘 유로인쇄용'!#REF!</definedName>
    <definedName name="_3034">'[1]한샘 유로인쇄용'!#REF!</definedName>
    <definedName name="KCC단가1">[2]KCC단가!$A$2:$M$642</definedName>
    <definedName name="_xlnm.Print_Area" localSheetId="0">견적서!$B$1:$T$54</definedName>
    <definedName name="공용">[2]공용자재!$A$3:$M$638</definedName>
    <definedName name="윈체B2C">[2]B2C원자재!$C$7:$N$260</definedName>
    <definedName name="윈체단가">'[2]윈체(원)'!$B$10:$P$2720</definedName>
    <definedName name="이건단가">[2]이건단가!$A$4:$M$2000</definedName>
    <definedName name="한샘단가">[2]한샘단가!$A$3:$S$2509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<sst xmlns="http://schemas.openxmlformats.org/spreadsheetml/2006/main" count="645" uniqueCount="113">
  <si>
    <t/>
  </si>
  <si>
    <t>창호견적번호</t>
  </si>
  <si>
    <t>2. 창호 상세 견적사항</t>
  </si>
  <si>
    <t>순번</t>
  </si>
  <si>
    <t>설치위치</t>
  </si>
  <si>
    <t>모델명</t>
  </si>
  <si>
    <t>창형태</t>
  </si>
  <si>
    <t>길이(W)</t>
  </si>
  <si>
    <t>내부 랩핑</t>
  </si>
  <si>
    <t>수량</t>
  </si>
  <si>
    <t>방
충
망</t>
  </si>
  <si>
    <t>배
수
홀</t>
  </si>
  <si>
    <t>외부 랩핑</t>
  </si>
  <si>
    <t>잠금장치</t>
    <phoneticPr fontId="2" type="noConversion"/>
  </si>
  <si>
    <t>내부 유리종류</t>
    <phoneticPr fontId="2" type="noConversion"/>
  </si>
  <si>
    <t>외부 유리종류</t>
    <phoneticPr fontId="2" type="noConversion"/>
  </si>
  <si>
    <t>3. 기타 현장 특이사항(직접입력)</t>
    <phoneticPr fontId="2" type="noConversion"/>
  </si>
  <si>
    <t>견적서</t>
    <phoneticPr fontId="2" type="noConversion"/>
  </si>
  <si>
    <t>견적유효기간</t>
    <phoneticPr fontId="2" type="noConversion"/>
  </si>
  <si>
    <t>1개월</t>
    <phoneticPr fontId="2" type="noConversion"/>
  </si>
  <si>
    <t>계</t>
    <phoneticPr fontId="2" type="noConversion"/>
  </si>
  <si>
    <t>1. 기본정보</t>
    <phoneticPr fontId="2" type="noConversion"/>
  </si>
  <si>
    <t>시공예정일</t>
    <phoneticPr fontId="2" type="noConversion"/>
  </si>
  <si>
    <t>공급받는자</t>
    <phoneticPr fontId="2" type="noConversion"/>
  </si>
  <si>
    <t>현장주소</t>
    <phoneticPr fontId="2" type="noConversion"/>
  </si>
  <si>
    <t>금액 총계</t>
    <phoneticPr fontId="2" type="noConversion"/>
  </si>
  <si>
    <t>공급자</t>
    <phoneticPr fontId="2" type="noConversion"/>
  </si>
  <si>
    <t>대표자</t>
    <phoneticPr fontId="2" type="noConversion"/>
  </si>
  <si>
    <t>담당자</t>
    <phoneticPr fontId="2" type="noConversion"/>
  </si>
  <si>
    <t>사업자번호</t>
    <phoneticPr fontId="2" type="noConversion"/>
  </si>
  <si>
    <t>주소</t>
    <phoneticPr fontId="2" type="noConversion"/>
  </si>
  <si>
    <t>연락처</t>
    <phoneticPr fontId="2" type="noConversion"/>
  </si>
  <si>
    <t>금액</t>
    <phoneticPr fontId="2" type="noConversion"/>
  </si>
  <si>
    <t>시공 유/무</t>
    <phoneticPr fontId="2" type="noConversion"/>
  </si>
  <si>
    <t>제품명</t>
    <phoneticPr fontId="2" type="noConversion"/>
  </si>
  <si>
    <t>부가세</t>
    <phoneticPr fontId="2" type="noConversion"/>
  </si>
  <si>
    <t>내부
유리두께</t>
  </si>
  <si>
    <t>외부
유리두께</t>
  </si>
  <si>
    <t>잠금장치 높이</t>
    <phoneticPr fontId="2" type="noConversion"/>
  </si>
  <si>
    <t>옵션1</t>
    <phoneticPr fontId="2" type="noConversion"/>
  </si>
  <si>
    <t>옵션2</t>
    <phoneticPr fontId="2" type="noConversion"/>
  </si>
  <si>
    <t>길이(W2)</t>
    <phoneticPr fontId="2" type="noConversion"/>
  </si>
  <si>
    <t>높이(H1)</t>
    <phoneticPr fontId="2" type="noConversion"/>
  </si>
  <si>
    <t>높이(H2)</t>
  </si>
  <si>
    <t>높이(H)</t>
    <phoneticPr fontId="2" type="noConversion"/>
  </si>
  <si>
    <t>길이(W1)</t>
    <phoneticPr fontId="2" type="noConversion"/>
  </si>
  <si>
    <t>최종견적일</t>
    <phoneticPr fontId="2" type="noConversion"/>
  </si>
  <si>
    <t>900000-005452-064-001</t>
  </si>
  <si>
    <t>26-02-26</t>
  </si>
  <si>
    <t>홈쇼핑(티유)_김우석</t>
  </si>
  <si>
    <t>케이씨씨글라스</t>
  </si>
  <si>
    <t>401-87-01412</t>
  </si>
  <si>
    <t>서울 송파구 송파2동 187-11 대현아트빌302호</t>
  </si>
  <si>
    <t>변종오 외1</t>
  </si>
  <si>
    <t>서울특별시 서초구 강남대로 587</t>
  </si>
  <si>
    <t>O</t>
  </si>
  <si>
    <t>김우석</t>
  </si>
  <si>
    <t>02-2015-8500</t>
  </si>
  <si>
    <t>1</t>
  </si>
  <si>
    <t>거실창</t>
  </si>
  <si>
    <t>발코니이중창251</t>
  </si>
  <si>
    <t>HW ONE(V)_HBF251D</t>
  </si>
  <si>
    <t>3W(1:2:1)</t>
  </si>
  <si>
    <t>2100</t>
  </si>
  <si>
    <t>2000</t>
  </si>
  <si>
    <t>WH</t>
  </si>
  <si>
    <t>28</t>
  </si>
  <si>
    <t>28T 투명+투명(V)</t>
  </si>
  <si>
    <t>L-PLUS_N HANDLE (대)</t>
  </si>
  <si>
    <t>X</t>
  </si>
  <si>
    <t>STS(BL)</t>
  </si>
  <si>
    <t>N</t>
  </si>
  <si>
    <t>28T 더블로이+투명(V)</t>
  </si>
  <si>
    <t>비고</t>
  </si>
  <si>
    <t>단열</t>
  </si>
  <si>
    <t>최종계산일</t>
  </si>
  <si>
    <t>2026.02.26</t>
  </si>
  <si>
    <t>2</t>
  </si>
  <si>
    <t>큰방</t>
  </si>
  <si>
    <t>2W</t>
  </si>
  <si>
    <t>2300</t>
  </si>
  <si>
    <t>1200</t>
  </si>
  <si>
    <t>L-PLUS_N HANDLE (중)</t>
  </si>
  <si>
    <t>우</t>
  </si>
  <si>
    <t>3</t>
  </si>
  <si>
    <t>이중창</t>
  </si>
  <si>
    <t>1610</t>
  </si>
  <si>
    <t>1180</t>
  </si>
  <si>
    <t>4</t>
  </si>
  <si>
    <t>2550</t>
  </si>
  <si>
    <t>1330</t>
  </si>
  <si>
    <t>5</t>
  </si>
  <si>
    <t>단창</t>
  </si>
  <si>
    <t>발코니창141</t>
  </si>
  <si>
    <t>HW ONE(V)_HBF141S</t>
  </si>
  <si>
    <t>2900</t>
  </si>
  <si>
    <t>1350</t>
  </si>
  <si>
    <t xml:space="preserve"> </t>
  </si>
  <si>
    <t>6</t>
  </si>
  <si>
    <t>530</t>
  </si>
  <si>
    <t>1260</t>
  </si>
  <si>
    <t>7</t>
  </si>
  <si>
    <t>기타견적</t>
  </si>
  <si>
    <t>철거비</t>
  </si>
  <si>
    <t>8</t>
  </si>
  <si>
    <t>양중비</t>
  </si>
  <si>
    <t>9</t>
  </si>
  <si>
    <t>보양비</t>
  </si>
  <si>
    <t>10</t>
  </si>
  <si>
    <t>몰딩비</t>
  </si>
  <si>
    <t>11</t>
  </si>
  <si>
    <t>타일</t>
  </si>
  <si>
    <t>현장구분:일반 / 거주구분:거주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</si>
</sst>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4" formatCode="#,##0&quot;(부가세포함)&quot;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0"/>
      <color indexed="8"/>
      <name val="ARIAL"/>
      <family val="2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indexed="62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굴림체"/>
      <family val="2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  <font>
      <name val="맑은 고딕"/>
      <sz val="9.0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</patternFill>
    </fill>
    <fill>
      <patternFill patternType="solid">
        <fgColor theme="9" tint="0.39997558519241921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 rgb="4F81BD"/>
      </bottom>
      <diagonal/>
    </border>
    <border>
      <left/>
      <right/>
      <top/>
      <bottom style="thick">
        <color theme="4" tint="0.499984740745262" rgb="4F81BD"/>
      </bottom>
      <diagonal/>
    </border>
    <border>
      <left/>
      <right/>
      <top/>
      <bottom style="medium">
        <color theme="4" tint="0.39997558519241921" rgb="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thin"/>
    </border>
    <border>
      <left style="thin"/>
      <top style="thin"/>
    </border>
    <border>
      <left style="thin"/>
      <bottom style="thin"/>
    </border>
  </borders>
  <cellStyleXfs count="114">
    <xf numFmtId="0" fontId="0" fillId="0" borderId="0">
      <alignment vertical="center"/>
    </xf>
    <xf numFmtId="0" fontId="4" fillId="0" borderId="0">
      <alignment vertical="top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41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" fillId="0" borderId="0">
      <alignment vertical="center"/>
    </xf>
    <xf numFmtId="0" fontId="28" fillId="0" borderId="0"/>
    <xf numFmtId="41" fontId="2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7" fillId="0" borderId="0"/>
    <xf numFmtId="41" fontId="2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9" fontId="3" fillId="0" borderId="23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28" xfId="0" applyNumberFormat="1" applyFont="1" applyBorder="1" applyAlignment="1">
      <alignment vertical="center" wrapText="1"/>
    </xf>
    <xf numFmtId="49" fontId="3" fillId="0" borderId="22" xfId="0" applyNumberFormat="1" applyFont="1" applyBorder="1" applyAlignment="1">
      <alignment vertical="center" wrapText="1"/>
    </xf>
    <xf numFmtId="49" fontId="3" fillId="0" borderId="25" xfId="0" applyNumberFormat="1" applyFont="1" applyBorder="1" applyAlignment="1">
      <alignment vertical="center" wrapText="1"/>
    </xf>
    <xf numFmtId="49" fontId="3" fillId="0" borderId="27" xfId="0" applyNumberFormat="1" applyFont="1" applyBorder="1" applyAlignment="1">
      <alignment vertical="center" wrapText="1"/>
    </xf>
    <xf numFmtId="0" fontId="9" fillId="0" borderId="0" xfId="0" applyFont="1">
      <alignment vertical="center"/>
    </xf>
    <xf numFmtId="0" fontId="6" fillId="0" borderId="24" xfId="0" applyFont="1" applyBorder="1">
      <alignment vertical="center"/>
    </xf>
    <xf numFmtId="0" fontId="6" fillId="0" borderId="0" xfId="0" applyFont="1">
      <alignment vertical="center"/>
    </xf>
    <xf numFmtId="0" fontId="6" fillId="0" borderId="26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31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49" fontId="29" fillId="0" borderId="19" xfId="0" applyNumberFormat="1" applyFont="1" applyBorder="1" applyAlignment="1">
      <alignment horizontal="center" vertical="center" wrapText="1"/>
    </xf>
    <xf numFmtId="49" fontId="29" fillId="0" borderId="19" xfId="0" applyNumberFormat="1" applyFont="1" applyBorder="1" applyAlignment="1">
      <alignment vertical="center" wrapText="1"/>
    </xf>
    <xf numFmtId="49" fontId="29" fillId="36" borderId="14" xfId="0" applyNumberFormat="1" applyFont="1" applyFill="1" applyBorder="1" applyAlignment="1">
      <alignment horizontal="center" vertical="center" wrapText="1"/>
    </xf>
    <xf numFmtId="49" fontId="29" fillId="36" borderId="21" xfId="0" applyNumberFormat="1" applyFont="1" applyFill="1" applyBorder="1" applyAlignment="1">
      <alignment horizontal="center" vertical="center" wrapText="1"/>
    </xf>
    <xf numFmtId="49" fontId="29" fillId="34" borderId="21" xfId="0" applyNumberFormat="1" applyFont="1" applyFill="1" applyBorder="1" applyAlignment="1">
      <alignment horizontal="center" vertical="center" wrapText="1"/>
    </xf>
    <xf numFmtId="49" fontId="29" fillId="0" borderId="18" xfId="0" applyNumberFormat="1" applyFont="1" applyBorder="1" applyAlignment="1">
      <alignment horizontal="left" vertical="center" wrapText="1"/>
    </xf>
    <xf numFmtId="49" fontId="29" fillId="0" borderId="18" xfId="0" applyNumberFormat="1" applyFont="1" applyBorder="1" applyAlignment="1">
      <alignment horizontal="center" vertical="center" wrapText="1"/>
    </xf>
    <xf numFmtId="49" fontId="29" fillId="36" borderId="10" xfId="0" applyNumberFormat="1" applyFont="1" applyFill="1" applyBorder="1" applyAlignment="1">
      <alignment horizontal="center" vertical="center" wrapText="1"/>
    </xf>
    <xf numFmtId="49" fontId="29" fillId="36" borderId="10" xfId="0" applyNumberFormat="1" applyFont="1" applyFill="1" applyBorder="1" applyAlignment="1">
      <alignment horizontal="center" vertical="center"/>
    </xf>
    <xf numFmtId="49" fontId="29" fillId="36" borderId="20" xfId="0" applyNumberFormat="1" applyFont="1" applyFill="1" applyBorder="1" applyAlignment="1">
      <alignment horizontal="center" vertical="center" wrapText="1"/>
    </xf>
    <xf numFmtId="49" fontId="29" fillId="36" borderId="20" xfId="0" applyNumberFormat="1" applyFont="1" applyFill="1" applyBorder="1" applyAlignment="1">
      <alignment horizontal="center" vertical="center"/>
    </xf>
    <xf numFmtId="49" fontId="29" fillId="0" borderId="11" xfId="0" applyNumberFormat="1" applyFont="1" applyBorder="1" applyAlignment="1">
      <alignment horizontal="left" vertical="center"/>
    </xf>
    <xf numFmtId="49" fontId="29" fillId="0" borderId="12" xfId="0" applyNumberFormat="1" applyFont="1" applyBorder="1" applyAlignment="1">
      <alignment horizontal="left" vertical="center"/>
    </xf>
    <xf numFmtId="49" fontId="29" fillId="0" borderId="12" xfId="0" applyNumberFormat="1" applyFont="1" applyBorder="1" applyAlignment="1">
      <alignment horizontal="left" vertical="center" wrapText="1"/>
    </xf>
    <xf numFmtId="49" fontId="29" fillId="0" borderId="12" xfId="0" applyNumberFormat="1" applyFont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 wrapText="1"/>
    </xf>
    <xf numFmtId="0" fontId="31" fillId="0" borderId="37" xfId="0" applyFont="1" applyBorder="1">
      <alignment vertical="center"/>
    </xf>
    <xf numFmtId="3" fontId="32" fillId="0" borderId="21" xfId="0" applyNumberFormat="1" applyFont="1" applyBorder="1" applyAlignment="1">
      <alignment horizontal="right" vertical="center"/>
    </xf>
    <xf numFmtId="49" fontId="29" fillId="36" borderId="30" xfId="0" applyNumberFormat="1" applyFont="1" applyFill="1" applyBorder="1" applyAlignment="1">
      <alignment horizontal="center" vertical="center" wrapText="1"/>
    </xf>
    <xf numFmtId="49" fontId="29" fillId="36" borderId="33" xfId="0" applyNumberFormat="1" applyFont="1" applyFill="1" applyBorder="1" applyAlignment="1">
      <alignment vertical="center" wrapText="1"/>
    </xf>
    <xf numFmtId="49" fontId="29" fillId="36" borderId="21" xfId="0" applyNumberFormat="1" applyFont="1" applyFill="1" applyBorder="1" applyAlignment="1">
      <alignment horizontal="center" vertical="center" wrapText="1"/>
    </xf>
    <xf numFmtId="49" fontId="29" fillId="36" borderId="40" xfId="0" applyNumberFormat="1" applyFont="1" applyFill="1" applyBorder="1" applyAlignment="1">
      <alignment horizontal="center" vertical="center" wrapText="1"/>
    </xf>
    <xf numFmtId="49" fontId="29" fillId="36" borderId="41" xfId="0" applyNumberFormat="1" applyFont="1" applyFill="1" applyBorder="1" applyAlignment="1">
      <alignment horizontal="center" vertical="center" wrapText="1"/>
    </xf>
    <xf numFmtId="49" fontId="29" fillId="0" borderId="0" xfId="0" applyNumberFormat="1" applyFont="1" applyBorder="1" applyAlignment="1">
      <alignment horizontal="center" vertical="center" wrapText="1"/>
    </xf>
    <xf numFmtId="49" fontId="29" fillId="36" borderId="21" xfId="0" applyNumberFormat="1" applyFont="1" applyFill="1" applyBorder="1" applyAlignment="1">
      <alignment horizontal="center" vertical="center" wrapText="1"/>
    </xf>
    <xf numFmtId="49" fontId="30" fillId="33" borderId="30" xfId="0" applyNumberFormat="1" applyFont="1" applyFill="1" applyBorder="1" applyAlignment="1">
      <alignment horizontal="center" vertical="center" wrapText="1"/>
    </xf>
    <xf numFmtId="49" fontId="30" fillId="33" borderId="19" xfId="0" applyNumberFormat="1" applyFont="1" applyFill="1" applyBorder="1" applyAlignment="1">
      <alignment horizontal="center" vertical="center" wrapText="1"/>
    </xf>
    <xf numFmtId="49" fontId="30" fillId="33" borderId="31" xfId="0" applyNumberFormat="1" applyFont="1" applyFill="1" applyBorder="1" applyAlignment="1">
      <alignment horizontal="center" vertical="center" wrapText="1"/>
    </xf>
    <xf numFmtId="49" fontId="30" fillId="0" borderId="21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29" fillId="0" borderId="30" xfId="0" applyNumberFormat="1" applyFont="1" applyBorder="1" applyAlignment="1">
      <alignment horizontal="left" vertical="center" wrapText="1"/>
    </xf>
    <xf numFmtId="49" fontId="29" fillId="0" borderId="19" xfId="0" applyNumberFormat="1" applyFont="1" applyBorder="1" applyAlignment="1">
      <alignment horizontal="left" vertical="center" wrapText="1"/>
    </xf>
    <xf numFmtId="49" fontId="29" fillId="36" borderId="21" xfId="0" applyNumberFormat="1" applyFont="1" applyFill="1" applyBorder="1" applyAlignment="1">
      <alignment horizontal="center" vertical="center" wrapText="1"/>
    </xf>
    <xf numFmtId="49" fontId="29" fillId="34" borderId="19" xfId="0" applyNumberFormat="1" applyFont="1" applyFill="1" applyBorder="1" applyAlignment="1">
      <alignment horizontal="center" vertical="center" wrapText="1"/>
    </xf>
    <xf numFmtId="49" fontId="29" fillId="34" borderId="36" xfId="0" applyNumberFormat="1" applyFont="1" applyFill="1" applyBorder="1" applyAlignment="1">
      <alignment horizontal="center" vertical="center" wrapText="1"/>
    </xf>
    <xf numFmtId="49" fontId="29" fillId="0" borderId="30" xfId="0" applyNumberFormat="1" applyFont="1" applyBorder="1" applyAlignment="1">
      <alignment horizontal="center" vertical="center" wrapText="1"/>
    </xf>
    <xf numFmtId="49" fontId="29" fillId="0" borderId="19" xfId="0" applyNumberFormat="1" applyFont="1" applyBorder="1" applyAlignment="1">
      <alignment horizontal="center" vertical="center" wrapText="1"/>
    </xf>
    <xf numFmtId="49" fontId="29" fillId="0" borderId="31" xfId="0" applyNumberFormat="1" applyFont="1" applyBorder="1" applyAlignment="1">
      <alignment horizontal="center" vertical="center" wrapText="1"/>
    </xf>
    <xf numFmtId="49" fontId="29" fillId="34" borderId="30" xfId="0" applyNumberFormat="1" applyFont="1" applyFill="1" applyBorder="1" applyAlignment="1">
      <alignment horizontal="center" vertical="center" wrapText="1"/>
    </xf>
    <xf numFmtId="49" fontId="29" fillId="34" borderId="31" xfId="0" applyNumberFormat="1" applyFont="1" applyFill="1" applyBorder="1" applyAlignment="1">
      <alignment horizontal="center" vertical="center" wrapText="1"/>
    </xf>
    <xf numFmtId="49" fontId="29" fillId="0" borderId="15" xfId="0" applyNumberFormat="1" applyFont="1" applyBorder="1" applyAlignment="1">
      <alignment horizontal="left" vertical="center" wrapText="1"/>
    </xf>
    <xf numFmtId="49" fontId="29" fillId="0" borderId="18" xfId="0" applyNumberFormat="1" applyFont="1" applyBorder="1" applyAlignment="1">
      <alignment horizontal="left" vertical="center" wrapText="1"/>
    </xf>
    <xf numFmtId="49" fontId="29" fillId="36" borderId="13" xfId="0" applyNumberFormat="1" applyFont="1" applyFill="1" applyBorder="1" applyAlignment="1">
      <alignment horizontal="center" vertical="center" wrapText="1"/>
    </xf>
    <xf numFmtId="49" fontId="29" fillId="36" borderId="17" xfId="0" applyNumberFormat="1" applyFont="1" applyFill="1" applyBorder="1" applyAlignment="1">
      <alignment horizontal="center" vertical="center" wrapText="1"/>
    </xf>
    <xf numFmtId="49" fontId="29" fillId="36" borderId="11" xfId="0" applyNumberFormat="1" applyFont="1" applyFill="1" applyBorder="1" applyAlignment="1">
      <alignment horizontal="center" vertical="center" wrapText="1"/>
    </xf>
    <xf numFmtId="49" fontId="29" fillId="36" borderId="14" xfId="0" applyNumberFormat="1" applyFont="1" applyFill="1" applyBorder="1" applyAlignment="1">
      <alignment horizontal="center" vertical="center" wrapText="1"/>
    </xf>
    <xf numFmtId="49" fontId="29" fillId="36" borderId="30" xfId="0" applyNumberFormat="1" applyFont="1" applyFill="1" applyBorder="1" applyAlignment="1">
      <alignment horizontal="center" vertical="center" wrapText="1"/>
    </xf>
    <xf numFmtId="49" fontId="29" fillId="36" borderId="19" xfId="0" applyNumberFormat="1" applyFont="1" applyFill="1" applyBorder="1" applyAlignment="1">
      <alignment horizontal="center" vertical="center" wrapText="1"/>
    </xf>
    <xf numFmtId="49" fontId="29" fillId="34" borderId="21" xfId="0" applyNumberFormat="1" applyFont="1" applyFill="1" applyBorder="1" applyAlignment="1">
      <alignment horizontal="center" vertical="center" wrapText="1"/>
    </xf>
    <xf numFmtId="49" fontId="29" fillId="36" borderId="31" xfId="0" applyNumberFormat="1" applyFont="1" applyFill="1" applyBorder="1" applyAlignment="1">
      <alignment horizontal="center" vertical="center" wrapText="1"/>
    </xf>
    <xf numFmtId="49" fontId="29" fillId="36" borderId="35" xfId="0" applyNumberFormat="1" applyFont="1" applyFill="1" applyBorder="1" applyAlignment="1">
      <alignment horizontal="center" vertical="center" wrapText="1"/>
    </xf>
    <xf numFmtId="49" fontId="29" fillId="36" borderId="38" xfId="0" applyNumberFormat="1" applyFont="1" applyFill="1" applyBorder="1" applyAlignment="1">
      <alignment horizontal="center" vertical="center" wrapText="1"/>
    </xf>
    <xf numFmtId="49" fontId="29" fillId="36" borderId="39" xfId="0" applyNumberFormat="1" applyFont="1" applyFill="1" applyBorder="1" applyAlignment="1">
      <alignment horizontal="center" vertical="center" wrapText="1"/>
    </xf>
    <xf numFmtId="49" fontId="29" fillId="36" borderId="20" xfId="0" applyNumberFormat="1" applyFont="1" applyFill="1" applyBorder="1" applyAlignment="1">
      <alignment horizontal="center" vertical="center" wrapText="1"/>
    </xf>
    <xf numFmtId="0" fontId="33" fillId="0" borderId="45" xfId="0" applyFont="true" applyBorder="true" applyAlignment="true">
      <alignment vertical="center" horizontal="center" wrapText="true"/>
    </xf>
    <xf numFmtId="0" fontId="34" fillId="0" borderId="45" xfId="0" applyFont="true" applyBorder="true" applyAlignment="true">
      <alignment vertical="center" horizontal="left"/>
    </xf>
    <xf numFmtId="3" fontId="35" fillId="0" borderId="45" xfId="0" applyFont="true" applyBorder="true" applyAlignment="true" applyNumberFormat="true">
      <alignment vertical="center" horizontal="right"/>
    </xf>
    <xf numFmtId="164" fontId="36" fillId="0" borderId="45" xfId="0" applyFont="true" applyBorder="true" applyAlignment="true" applyNumberFormat="true">
      <alignment vertical="center" horizontal="center"/>
    </xf>
    <xf numFmtId="0" fontId="37" fillId="0" borderId="47" xfId="0" applyFont="true" applyBorder="true" applyAlignment="true">
      <alignment vertical="center" horizontal="left"/>
    </xf>
    <xf numFmtId="0" fontId="38" fillId="0" borderId="48" xfId="0" applyFont="true" applyBorder="true" applyAlignment="true">
      <alignment vertical="center" horizontal="left"/>
    </xf>
    <xf numFmtId="0" fontId="39" fillId="38" borderId="45" xfId="0" applyFont="true" applyFill="true" applyBorder="true" applyAlignment="true">
      <alignment wrapText="true" vertical="center" horizontal="center"/>
    </xf>
  </cellXfs>
  <cellStyles count="114">
    <cellStyle name="20% - 강조색1 2" xfId="10"/>
    <cellStyle name="20% - 강조색2 2" xfId="11"/>
    <cellStyle name="20% - 강조색3 2" xfId="12"/>
    <cellStyle name="20% - 강조색4 2" xfId="13"/>
    <cellStyle name="20% - 강조색4 3" xfId="14"/>
    <cellStyle name="20% - 강조색5 2" xfId="15"/>
    <cellStyle name="20% - 강조색6 2" xfId="16"/>
    <cellStyle name="40% - 강조색1 2" xfId="17"/>
    <cellStyle name="40% - 강조색2 2" xfId="18"/>
    <cellStyle name="40% - 강조색3 2" xfId="19"/>
    <cellStyle name="40% - 강조색4 2" xfId="20"/>
    <cellStyle name="40% - 강조색5 2" xfId="21"/>
    <cellStyle name="40% - 강조색6 2" xfId="22"/>
    <cellStyle name="60% - 강조색1 2" xfId="23"/>
    <cellStyle name="60% - 강조색2 2" xfId="24"/>
    <cellStyle name="60% - 강조색3 2" xfId="25"/>
    <cellStyle name="60% - 강조색4 2" xfId="26"/>
    <cellStyle name="60% - 강조색5 2" xfId="27"/>
    <cellStyle name="60% - 강조색6 2" xfId="28"/>
    <cellStyle name="강조색1 2" xfId="29"/>
    <cellStyle name="강조색2 2" xfId="30"/>
    <cellStyle name="강조색3 2" xfId="31"/>
    <cellStyle name="강조색4 2" xfId="32"/>
    <cellStyle name="강조색5 2" xfId="33"/>
    <cellStyle name="강조색6 2" xfId="34"/>
    <cellStyle name="경고문 2" xfId="35"/>
    <cellStyle name="계산 2" xfId="36"/>
    <cellStyle name="나쁨 2" xfId="37"/>
    <cellStyle name="메모 2" xfId="38"/>
    <cellStyle name="백분율 2" xfId="9"/>
    <cellStyle name="백분율 2 2" xfId="61"/>
    <cellStyle name="백분율 2 3" xfId="72"/>
    <cellStyle name="백분율 2 3 2" xfId="104"/>
    <cellStyle name="백분율 2 4" xfId="73"/>
    <cellStyle name="백분율 2 4 2" xfId="94"/>
    <cellStyle name="백분율 3" xfId="39"/>
    <cellStyle name="백분율 3 2" xfId="82"/>
    <cellStyle name="백분율 3 2 2" xfId="105"/>
    <cellStyle name="백분율 3 3" xfId="95"/>
    <cellStyle name="백분율 4" xfId="77"/>
    <cellStyle name="백분율 5" xfId="91"/>
    <cellStyle name="백분율 6" xfId="4"/>
    <cellStyle name="보통 2" xfId="40"/>
    <cellStyle name="설명 텍스트 2" xfId="41"/>
    <cellStyle name="셀 확인 2" xfId="42"/>
    <cellStyle name="쉼표 [0] 2" xfId="6"/>
    <cellStyle name="쉼표 [0] 2 2" xfId="60"/>
    <cellStyle name="쉼표 [0] 2 2 2" xfId="65"/>
    <cellStyle name="쉼표 [0] 2 2 2 2" xfId="86"/>
    <cellStyle name="쉼표 [0] 2 2 2 2 2" xfId="109"/>
    <cellStyle name="쉼표 [0] 2 2 2 3" xfId="99"/>
    <cellStyle name="쉼표 [0] 2 3" xfId="75"/>
    <cellStyle name="쉼표 [0] 3" xfId="8"/>
    <cellStyle name="쉼표 [0] 3 2" xfId="71"/>
    <cellStyle name="쉼표 [0] 3 2 2" xfId="103"/>
    <cellStyle name="쉼표 [0] 3 3" xfId="74"/>
    <cellStyle name="쉼표 [0] 3 3 2" xfId="93"/>
    <cellStyle name="쉼표 [0] 3 4" xfId="81"/>
    <cellStyle name="쉼표 [0] 4" xfId="43"/>
    <cellStyle name="쉼표 [0] 4 2" xfId="64"/>
    <cellStyle name="쉼표 [0] 4 3" xfId="83"/>
    <cellStyle name="쉼표 [0] 4 3 2" xfId="106"/>
    <cellStyle name="쉼표 [0] 4 4" xfId="96"/>
    <cellStyle name="쉼표 [0] 5" xfId="44"/>
    <cellStyle name="쉼표 [0] 6" xfId="78"/>
    <cellStyle name="쉼표 [0] 7" xfId="90"/>
    <cellStyle name="쉼표 [0] 8" xfId="113"/>
    <cellStyle name="쉼표 [0] 9" xfId="3"/>
    <cellStyle name="연결된 셀 2" xfId="45"/>
    <cellStyle name="요약 2" xfId="46"/>
    <cellStyle name="입력 2" xfId="47"/>
    <cellStyle name="제목 1 2" xfId="48"/>
    <cellStyle name="제목 1 3" xfId="49"/>
    <cellStyle name="제목 2 2" xfId="50"/>
    <cellStyle name="제목 3 2" xfId="51"/>
    <cellStyle name="제목 4 2" xfId="52"/>
    <cellStyle name="제목 5" xfId="53"/>
    <cellStyle name="제목 6" xfId="54"/>
    <cellStyle name="좋음 2" xfId="55"/>
    <cellStyle name="출력 2" xfId="56"/>
    <cellStyle name="표준" xfId="0" builtinId="0"/>
    <cellStyle name="표준 10" xfId="2"/>
    <cellStyle name="표준 2" xfId="5"/>
    <cellStyle name="표준 2 2" xfId="66"/>
    <cellStyle name="표준 2 3" xfId="67"/>
    <cellStyle name="표준 2 3 2" xfId="87"/>
    <cellStyle name="표준 2 3 2 2" xfId="110"/>
    <cellStyle name="표준 2 3 3" xfId="100"/>
    <cellStyle name="표준 2 4" xfId="68"/>
    <cellStyle name="표준 2 4 2" xfId="88"/>
    <cellStyle name="표준 2 4 2 2" xfId="111"/>
    <cellStyle name="표준 2 4 3" xfId="101"/>
    <cellStyle name="표준 2 5" xfId="62"/>
    <cellStyle name="표준 2 5 2" xfId="85"/>
    <cellStyle name="표준 2 5 2 2" xfId="108"/>
    <cellStyle name="표준 2 5 3" xfId="98"/>
    <cellStyle name="표준 2 6" xfId="76"/>
    <cellStyle name="표준 2 7" xfId="80"/>
    <cellStyle name="표준 3" xfId="7"/>
    <cellStyle name="표준 3 2" xfId="70"/>
    <cellStyle name="표준 3 2 2" xfId="102"/>
    <cellStyle name="표준 3 3" xfId="69"/>
    <cellStyle name="표준 3 4" xfId="92"/>
    <cellStyle name="표준 4" xfId="57"/>
    <cellStyle name="표준 5" xfId="1"/>
    <cellStyle name="표준 5 2" xfId="63"/>
    <cellStyle name="표준 5 3" xfId="84"/>
    <cellStyle name="표준 5 3 2" xfId="107"/>
    <cellStyle name="표준 5 4" xfId="97"/>
    <cellStyle name="표준 5 5" xfId="58"/>
    <cellStyle name="표준 6" xfId="59"/>
    <cellStyle name="표준 7" xfId="79"/>
    <cellStyle name="표준 8" xfId="89"/>
    <cellStyle name="표준 9" xfId="1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externalLinks/externalLink2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708972</xdr:colOff>
      <xdr:row>0</xdr:row>
      <xdr:rowOff>47236</xdr:rowOff>
    </xdr:from>
    <xdr:to>
      <xdr:col>19</xdr:col>
      <xdr:colOff>103918</xdr:colOff>
      <xdr:row>3</xdr:row>
      <xdr:rowOff>194358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2261B7F-7815-6299-5EBE-ADA8A707C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2218" y="47236"/>
          <a:ext cx="1973993" cy="7988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192.168.0.3/&#44277;&#50976;&#54260;&#45908;/Users/com/Desktop/6&#50900;16&#51068;/C.2021-&#50976;&#47532;&#48156;&#51452;&#49436;.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Desktop-e7ne01v/&#49888;&#44277;&#50976;/H.2020&#45380;-10&#50900;-&#54620;&#49368;&#51088;&#51116;&#48156;&#51452;&#47784;&#51020;.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한샘 유로인쇄용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용자재"/>
      <sheetName val="윈체(원)"/>
      <sheetName val="B2C원자재"/>
      <sheetName val="이건단가"/>
      <sheetName val="한샘단가"/>
      <sheetName val="KCC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4"/>
  <sheetViews>
    <sheetView tabSelected="1" zoomScaleNormal="100" zoomScaleSheetLayoutView="85" workbookViewId="0">
      <selection activeCell="J20" sqref="J20"/>
    </sheetView>
  </sheetViews>
  <sheetFormatPr defaultColWidth="8.875" defaultRowHeight="16.5" x14ac:dyDescent="0.3"/>
  <cols>
    <col min="1" max="1" style="9" width="8.875"/>
    <col min="2" max="2" customWidth="true" style="9" width="5.375"/>
    <col min="3" max="4" customWidth="true" style="9" width="11.375"/>
    <col min="5" max="5" customWidth="true" style="9" width="14.125"/>
    <col min="6" max="6" customWidth="true" style="9" width="10.125"/>
    <col min="7" max="10" customWidth="true" style="9" width="8.125"/>
    <col min="11" max="11" bestFit="true" customWidth="true" style="9" width="8.625"/>
    <col min="12" max="12" customWidth="true" style="9" width="12.625"/>
    <col min="13" max="13" customWidth="true" style="9" width="15.625"/>
    <col min="14" max="14" bestFit="true" customWidth="true" style="9" width="4.625"/>
    <col min="15" max="15" customWidth="true" style="9" width="10.875"/>
    <col min="16" max="17" customWidth="true" style="9" width="6.25"/>
    <col min="18" max="19" customWidth="true" style="9" width="5.25"/>
    <col min="20" max="20" customWidth="true" style="9" width="12.125"/>
    <col min="21" max="16384" style="9" width="8.875"/>
  </cols>
  <sheetData>
    <row r="1" spans="2:22" ht="17.45" customHeight="1" x14ac:dyDescent="0.3">
      <c r="B1" s="50" t="s">
        <v>17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4"/>
      <c r="O1" s="1"/>
      <c r="P1" s="1"/>
      <c r="Q1" s="1"/>
      <c r="R1" s="1"/>
      <c r="S1" s="1"/>
      <c r="T1" s="8"/>
      <c r="V1" s="9">
        <v>1</v>
      </c>
    </row>
    <row r="2" spans="2:22" ht="17.45" customHeight="1" x14ac:dyDescent="0.3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  <c r="N2" s="5"/>
      <c r="O2" s="2"/>
      <c r="P2" s="2"/>
      <c r="Q2" s="2"/>
      <c r="R2" s="2"/>
      <c r="S2" s="2"/>
      <c r="T2" s="10"/>
    </row>
    <row r="3" spans="2:22" ht="17.45" customHeight="1" x14ac:dyDescent="0.3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5"/>
      <c r="N3" s="5"/>
      <c r="O3" s="2"/>
      <c r="P3" s="2"/>
      <c r="Q3" s="2"/>
      <c r="R3" s="2"/>
      <c r="S3" s="2"/>
      <c r="T3" s="10"/>
    </row>
    <row r="4" spans="2:22" ht="17.45" customHeight="1" x14ac:dyDescent="0.3">
      <c r="B4" s="56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"/>
      <c r="O4" s="3"/>
      <c r="P4" s="3"/>
      <c r="Q4" s="3"/>
      <c r="R4" s="3"/>
      <c r="S4" s="3"/>
      <c r="T4" s="11"/>
    </row>
    <row r="5" spans="2:22" x14ac:dyDescent="0.3">
      <c r="B5" s="59" t="s">
        <v>21</v>
      </c>
      <c r="C5" s="60"/>
      <c r="D5" s="21" t="s">
        <v>0</v>
      </c>
      <c r="E5" s="22"/>
      <c r="F5" s="22"/>
      <c r="G5" s="22"/>
      <c r="H5" s="22"/>
      <c r="I5" s="22"/>
      <c r="J5" s="22"/>
      <c r="K5" s="21" t="s">
        <v>0</v>
      </c>
      <c r="L5" s="21" t="s">
        <v>0</v>
      </c>
      <c r="M5" s="21" t="s">
        <v>0</v>
      </c>
      <c r="N5" s="21" t="s">
        <v>0</v>
      </c>
      <c r="O5" s="12"/>
      <c r="P5" s="12"/>
      <c r="Q5" s="12"/>
      <c r="R5" s="12"/>
      <c r="S5" s="12"/>
      <c r="T5" s="13"/>
    </row>
    <row r="6" spans="2:22" ht="17.45" customHeight="1" x14ac:dyDescent="0.3">
      <c r="B6" s="61" t="s">
        <v>1</v>
      </c>
      <c r="C6" s="61"/>
      <c r="D6" s="62" t="s">
        <v>47</v>
      </c>
      <c r="E6" s="62"/>
      <c r="F6" s="63"/>
      <c r="G6" s="23" t="s">
        <v>46</v>
      </c>
      <c r="H6" s="64" t="s">
        <v>48</v>
      </c>
      <c r="I6" s="65"/>
      <c r="J6" s="65"/>
      <c r="K6" s="66"/>
      <c r="L6" s="24" t="s">
        <v>18</v>
      </c>
      <c r="M6" s="25" t="s">
        <v>19</v>
      </c>
      <c r="N6" s="75" t="s">
        <v>22</v>
      </c>
      <c r="O6" s="76"/>
      <c r="P6" s="76"/>
      <c r="Q6" s="76"/>
      <c r="R6" s="77" t="s">
        <v>0</v>
      </c>
      <c r="S6" s="77"/>
      <c r="T6" s="77"/>
    </row>
    <row r="7" spans="2:22" ht="17.45" customHeight="1" x14ac:dyDescent="0.3">
      <c r="B7" s="61" t="s">
        <v>23</v>
      </c>
      <c r="C7" s="61"/>
      <c r="D7" s="67" t="s">
        <v>49</v>
      </c>
      <c r="E7" s="62"/>
      <c r="F7" s="62"/>
      <c r="G7" s="62"/>
      <c r="H7" s="62"/>
      <c r="I7" s="62"/>
      <c r="J7" s="62"/>
      <c r="K7" s="68"/>
      <c r="L7" s="24" t="s">
        <v>26</v>
      </c>
      <c r="M7" s="25" t="s">
        <v>50</v>
      </c>
      <c r="N7" s="75" t="s">
        <v>29</v>
      </c>
      <c r="O7" s="76"/>
      <c r="P7" s="76"/>
      <c r="Q7" s="76"/>
      <c r="R7" s="77" t="s">
        <v>51</v>
      </c>
      <c r="S7" s="77"/>
      <c r="T7" s="77"/>
    </row>
    <row r="8" spans="2:22" ht="34.5" customHeight="1" x14ac:dyDescent="0.3">
      <c r="B8" s="61" t="s">
        <v>24</v>
      </c>
      <c r="C8" s="61"/>
      <c r="D8" s="67" t="s">
        <v>52</v>
      </c>
      <c r="E8" s="62"/>
      <c r="F8" s="62"/>
      <c r="G8" s="62"/>
      <c r="H8" s="62"/>
      <c r="I8" s="62"/>
      <c r="J8" s="62"/>
      <c r="K8" s="68"/>
      <c r="L8" s="24" t="s">
        <v>27</v>
      </c>
      <c r="M8" s="25" t="s">
        <v>53</v>
      </c>
      <c r="N8" s="75" t="s">
        <v>30</v>
      </c>
      <c r="O8" s="76"/>
      <c r="P8" s="76"/>
      <c r="Q8" s="76"/>
      <c r="R8" s="77" t="s">
        <v>54</v>
      </c>
      <c r="S8" s="77"/>
      <c r="T8" s="77"/>
    </row>
    <row r="9" spans="2:22" ht="16.5" customHeight="1" x14ac:dyDescent="0.3">
      <c r="B9" s="61" t="s">
        <v>25</v>
      </c>
      <c r="C9" s="61"/>
      <c r="D9" s="86">
        <f>T47+T48</f>
      </c>
      <c r="E9" s="62"/>
      <c r="F9" s="62"/>
      <c r="G9" s="24" t="s">
        <v>33</v>
      </c>
      <c r="H9" s="67" t="s">
        <v>55</v>
      </c>
      <c r="I9" s="62"/>
      <c r="J9" s="62"/>
      <c r="K9" s="68"/>
      <c r="L9" s="24" t="s">
        <v>28</v>
      </c>
      <c r="M9" s="25" t="s">
        <v>56</v>
      </c>
      <c r="N9" s="75" t="s">
        <v>31</v>
      </c>
      <c r="O9" s="76"/>
      <c r="P9" s="76"/>
      <c r="Q9" s="76"/>
      <c r="R9" s="77" t="s">
        <v>57</v>
      </c>
      <c r="S9" s="77"/>
      <c r="T9" s="77"/>
      <c r="V9" s="7"/>
    </row>
    <row r="10" spans="2:22" x14ac:dyDescent="0.3"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2:22" x14ac:dyDescent="0.3">
      <c r="B11" s="69" t="s">
        <v>2</v>
      </c>
      <c r="C11" s="70"/>
      <c r="D11" s="26" t="s">
        <v>0</v>
      </c>
      <c r="E11" s="26" t="s">
        <v>0</v>
      </c>
      <c r="F11" s="27" t="s">
        <v>0</v>
      </c>
      <c r="G11" s="44" t="s">
        <v>0</v>
      </c>
      <c r="H11" s="44" t="s">
        <v>0</v>
      </c>
      <c r="I11" s="44"/>
      <c r="J11" s="44"/>
      <c r="K11" s="27" t="s">
        <v>0</v>
      </c>
      <c r="L11" s="27" t="s">
        <v>0</v>
      </c>
      <c r="M11" s="27" t="s">
        <v>0</v>
      </c>
      <c r="N11" s="27" t="s">
        <v>0</v>
      </c>
      <c r="O11" s="36" t="s">
        <v>0</v>
      </c>
      <c r="P11" s="36" t="s">
        <v>0</v>
      </c>
      <c r="Q11" s="36" t="s">
        <v>0</v>
      </c>
      <c r="R11" s="27" t="s">
        <v>0</v>
      </c>
      <c r="S11" s="27" t="s">
        <v>0</v>
      </c>
      <c r="T11" s="15"/>
    </row>
    <row r="12" spans="2:22" ht="21.6" customHeight="1" x14ac:dyDescent="0.3">
      <c r="B12" s="71" t="s">
        <v>3</v>
      </c>
      <c r="C12" s="71" t="s">
        <v>4</v>
      </c>
      <c r="D12" s="71" t="s">
        <v>34</v>
      </c>
      <c r="E12" s="71" t="s">
        <v>5</v>
      </c>
      <c r="F12" s="73" t="s">
        <v>6</v>
      </c>
      <c r="G12" s="75" t="s">
        <v>7</v>
      </c>
      <c r="H12" s="78"/>
      <c r="I12" s="75" t="s">
        <v>44</v>
      </c>
      <c r="J12" s="78"/>
      <c r="K12" s="42" t="s">
        <v>8</v>
      </c>
      <c r="L12" s="28" t="s">
        <v>36</v>
      </c>
      <c r="M12" s="29" t="s">
        <v>14</v>
      </c>
      <c r="N12" s="73" t="s">
        <v>9</v>
      </c>
      <c r="O12" s="39" t="s">
        <v>13</v>
      </c>
      <c r="P12" s="61" t="s">
        <v>39</v>
      </c>
      <c r="Q12" s="61" t="s">
        <v>40</v>
      </c>
      <c r="R12" s="80" t="s">
        <v>10</v>
      </c>
      <c r="S12" s="71" t="s">
        <v>11</v>
      </c>
      <c r="T12" s="71" t="s">
        <v>32</v>
      </c>
    </row>
    <row r="13" spans="2:22" ht="21.6" customHeight="1" x14ac:dyDescent="0.3">
      <c r="B13" s="72"/>
      <c r="C13" s="72"/>
      <c r="D13" s="72"/>
      <c r="E13" s="72"/>
      <c r="F13" s="74"/>
      <c r="G13" s="41" t="s">
        <v>45</v>
      </c>
      <c r="H13" s="41" t="s">
        <v>41</v>
      </c>
      <c r="I13" s="41" t="s">
        <v>42</v>
      </c>
      <c r="J13" s="45" t="s">
        <v>43</v>
      </c>
      <c r="K13" s="43" t="s">
        <v>12</v>
      </c>
      <c r="L13" s="30" t="s">
        <v>37</v>
      </c>
      <c r="M13" s="31" t="s">
        <v>15</v>
      </c>
      <c r="N13" s="82"/>
      <c r="O13" s="40" t="s">
        <v>38</v>
      </c>
      <c r="P13" s="61"/>
      <c r="Q13" s="61"/>
      <c r="R13" s="81"/>
      <c r="S13" s="82"/>
      <c r="T13" s="79"/>
    </row>
    <row r="14" ht="25.0" customHeight="true">
      <c r="B14" t="s" s="83">
        <v>58</v>
      </c>
      <c r="C14" t="s" s="83">
        <v>59</v>
      </c>
      <c r="D14" t="s" s="83">
        <v>60</v>
      </c>
      <c r="E14" t="s" s="83">
        <v>61</v>
      </c>
      <c r="F14" t="s" s="83">
        <v>62</v>
      </c>
      <c r="G14" t="s" s="83">
        <v>63</v>
      </c>
      <c r="H14" t="s" s="83">
        <v>0</v>
      </c>
      <c r="I14" t="s" s="83">
        <v>64</v>
      </c>
      <c r="J14" t="s" s="83">
        <v>0</v>
      </c>
      <c r="K14" t="s" s="83">
        <v>65</v>
      </c>
      <c r="L14" t="s" s="83">
        <v>66</v>
      </c>
      <c r="M14" t="s" s="83">
        <v>67</v>
      </c>
      <c r="N14" t="s" s="83">
        <v>58</v>
      </c>
      <c r="O14" t="s" s="83">
        <v>68</v>
      </c>
      <c r="P14" t="s" s="83">
        <v>69</v>
      </c>
      <c r="Q14" t="s" s="83">
        <v>69</v>
      </c>
      <c r="R14" t="s" s="83">
        <v>70</v>
      </c>
      <c r="S14" t="s" s="83">
        <v>55</v>
      </c>
      <c r="T14" s="85">
        <f>1245910*V1</f>
      </c>
    </row>
    <row r="15" ht="25.0" customHeight="true">
      <c r="B15" t="s" s="83">
        <v>58</v>
      </c>
      <c r="C15" t="s" s="83">
        <v>0</v>
      </c>
      <c r="D15" t="s" s="83">
        <v>0</v>
      </c>
      <c r="E15" t="s" s="83">
        <v>0</v>
      </c>
      <c r="F15" t="s" s="83">
        <v>71</v>
      </c>
      <c r="G15" t="s" s="83">
        <v>0</v>
      </c>
      <c r="H15" t="s" s="83">
        <v>0</v>
      </c>
      <c r="I15" t="s" s="83">
        <v>0</v>
      </c>
      <c r="J15" t="s" s="83">
        <v>0</v>
      </c>
      <c r="K15" t="s" s="83">
        <v>65</v>
      </c>
      <c r="L15" t="s" s="83">
        <v>66</v>
      </c>
      <c r="M15" t="s" s="83">
        <v>72</v>
      </c>
      <c r="N15" t="s" s="83">
        <v>0</v>
      </c>
      <c r="O15" t="s" s="83">
        <v>0</v>
      </c>
      <c r="P15" t="s" s="83">
        <v>0</v>
      </c>
      <c r="Q15" t="s" s="83">
        <v>0</v>
      </c>
      <c r="R15" t="s" s="83">
        <v>0</v>
      </c>
      <c r="S15" s="83"/>
      <c r="T15" s="83"/>
    </row>
    <row r="16" ht="25.0" customHeight="true">
      <c r="B16" t="s" s="83">
        <v>58</v>
      </c>
      <c r="C16" t="s" s="83">
        <v>73</v>
      </c>
      <c r="D16" t="s" s="84">
        <v>0</v>
      </c>
      <c r="E16" t="s" s="83">
        <v>0</v>
      </c>
      <c r="F16" t="s" s="83">
        <v>0</v>
      </c>
      <c r="G16" t="s" s="83">
        <v>0</v>
      </c>
      <c r="H16" t="s" s="83">
        <v>0</v>
      </c>
      <c r="I16" s="83"/>
      <c r="J16" s="83"/>
      <c r="K16" t="s" s="89">
        <v>74</v>
      </c>
      <c r="L16" t="s" s="83">
        <v>75</v>
      </c>
      <c r="M16" t="s" s="83">
        <v>76</v>
      </c>
      <c r="N16" t="s" s="83">
        <v>0</v>
      </c>
      <c r="O16" t="s" s="83">
        <v>0</v>
      </c>
      <c r="P16" t="s" s="83">
        <v>0</v>
      </c>
      <c r="Q16" t="s" s="83">
        <v>0</v>
      </c>
      <c r="R16" t="s" s="83">
        <v>0</v>
      </c>
      <c r="S16" s="83"/>
      <c r="T16" s="83"/>
    </row>
    <row r="17" ht="25.0" customHeight="true">
      <c r="B17" t="s" s="83">
        <v>77</v>
      </c>
      <c r="C17" t="s" s="83">
        <v>78</v>
      </c>
      <c r="D17" t="s" s="83">
        <v>60</v>
      </c>
      <c r="E17" t="s" s="83">
        <v>61</v>
      </c>
      <c r="F17" t="s" s="83">
        <v>79</v>
      </c>
      <c r="G17" t="s" s="83">
        <v>80</v>
      </c>
      <c r="H17" t="s" s="83">
        <v>0</v>
      </c>
      <c r="I17" t="s" s="83">
        <v>81</v>
      </c>
      <c r="J17" t="s" s="83">
        <v>0</v>
      </c>
      <c r="K17" t="s" s="83">
        <v>65</v>
      </c>
      <c r="L17" t="s" s="83">
        <v>66</v>
      </c>
      <c r="M17" t="s" s="83">
        <v>67</v>
      </c>
      <c r="N17" t="s" s="83">
        <v>58</v>
      </c>
      <c r="O17" t="s" s="83">
        <v>82</v>
      </c>
      <c r="P17" t="s" s="83">
        <v>69</v>
      </c>
      <c r="Q17" t="s" s="83">
        <v>69</v>
      </c>
      <c r="R17" t="s" s="83">
        <v>70</v>
      </c>
      <c r="S17" t="s" s="83">
        <v>55</v>
      </c>
      <c r="T17" s="85">
        <f>798898*V1</f>
      </c>
    </row>
    <row r="18" ht="25.0" customHeight="true">
      <c r="B18" t="s" s="83">
        <v>77</v>
      </c>
      <c r="C18" t="s" s="83">
        <v>0</v>
      </c>
      <c r="D18" t="s" s="83">
        <v>0</v>
      </c>
      <c r="E18" t="s" s="83">
        <v>0</v>
      </c>
      <c r="F18" t="s" s="83">
        <v>83</v>
      </c>
      <c r="G18" t="s" s="83">
        <v>0</v>
      </c>
      <c r="H18" t="s" s="83">
        <v>0</v>
      </c>
      <c r="I18" t="s" s="83">
        <v>0</v>
      </c>
      <c r="J18" t="s" s="83">
        <v>0</v>
      </c>
      <c r="K18" t="s" s="83">
        <v>65</v>
      </c>
      <c r="L18" t="s" s="83">
        <v>66</v>
      </c>
      <c r="M18" t="s" s="83">
        <v>72</v>
      </c>
      <c r="N18" t="s" s="83">
        <v>0</v>
      </c>
      <c r="O18" t="s" s="83">
        <v>0</v>
      </c>
      <c r="P18" t="s" s="83">
        <v>0</v>
      </c>
      <c r="Q18" t="s" s="83">
        <v>0</v>
      </c>
      <c r="R18" t="s" s="83">
        <v>0</v>
      </c>
      <c r="S18" s="83"/>
      <c r="T18" s="83"/>
    </row>
    <row r="19" ht="25.0" customHeight="true">
      <c r="B19" t="s" s="83">
        <v>77</v>
      </c>
      <c r="C19" t="s" s="83">
        <v>73</v>
      </c>
      <c r="D19" t="s" s="84">
        <v>0</v>
      </c>
      <c r="E19" t="s" s="83">
        <v>0</v>
      </c>
      <c r="F19" t="s" s="83">
        <v>0</v>
      </c>
      <c r="G19" t="s" s="83">
        <v>0</v>
      </c>
      <c r="H19" t="s" s="83">
        <v>0</v>
      </c>
      <c r="I19" s="83"/>
      <c r="J19" s="83"/>
      <c r="K19" t="s" s="89">
        <v>74</v>
      </c>
      <c r="L19" t="s" s="83">
        <v>75</v>
      </c>
      <c r="M19" t="s" s="83">
        <v>76</v>
      </c>
      <c r="N19" t="s" s="83">
        <v>0</v>
      </c>
      <c r="O19" t="s" s="83">
        <v>0</v>
      </c>
      <c r="P19" t="s" s="83">
        <v>0</v>
      </c>
      <c r="Q19" t="s" s="83">
        <v>0</v>
      </c>
      <c r="R19" t="s" s="83">
        <v>0</v>
      </c>
      <c r="S19" s="83"/>
      <c r="T19" s="83"/>
    </row>
    <row r="20" ht="25.0" customHeight="true">
      <c r="B20" t="s" s="83">
        <v>84</v>
      </c>
      <c r="C20" t="s" s="83">
        <v>85</v>
      </c>
      <c r="D20" t="s" s="83">
        <v>60</v>
      </c>
      <c r="E20" t="s" s="83">
        <v>61</v>
      </c>
      <c r="F20" t="s" s="83">
        <v>79</v>
      </c>
      <c r="G20" t="s" s="83">
        <v>86</v>
      </c>
      <c r="H20" t="s" s="83">
        <v>0</v>
      </c>
      <c r="I20" t="s" s="83">
        <v>87</v>
      </c>
      <c r="J20" t="s" s="83">
        <v>0</v>
      </c>
      <c r="K20" t="s" s="83">
        <v>65</v>
      </c>
      <c r="L20" t="s" s="83">
        <v>66</v>
      </c>
      <c r="M20" t="s" s="83">
        <v>67</v>
      </c>
      <c r="N20" t="s" s="83">
        <v>58</v>
      </c>
      <c r="O20" t="s" s="83">
        <v>82</v>
      </c>
      <c r="P20" t="s" s="83">
        <v>69</v>
      </c>
      <c r="Q20" t="s" s="83">
        <v>69</v>
      </c>
      <c r="R20" t="s" s="83">
        <v>70</v>
      </c>
      <c r="S20" t="s" s="83">
        <v>55</v>
      </c>
      <c r="T20" s="85">
        <f>605757*V1</f>
      </c>
    </row>
    <row r="21" ht="25.0" customHeight="true">
      <c r="B21" t="s" s="83">
        <v>84</v>
      </c>
      <c r="C21" t="s" s="83">
        <v>0</v>
      </c>
      <c r="D21" t="s" s="83">
        <v>0</v>
      </c>
      <c r="E21" t="s" s="83">
        <v>0</v>
      </c>
      <c r="F21" t="s" s="83">
        <v>83</v>
      </c>
      <c r="G21" t="s" s="83">
        <v>0</v>
      </c>
      <c r="H21" t="s" s="83">
        <v>0</v>
      </c>
      <c r="I21" t="s" s="83">
        <v>0</v>
      </c>
      <c r="J21" t="s" s="83">
        <v>0</v>
      </c>
      <c r="K21" t="s" s="83">
        <v>65</v>
      </c>
      <c r="L21" t="s" s="83">
        <v>66</v>
      </c>
      <c r="M21" t="s" s="83">
        <v>72</v>
      </c>
      <c r="N21" t="s" s="83">
        <v>0</v>
      </c>
      <c r="O21" t="s" s="83">
        <v>0</v>
      </c>
      <c r="P21" t="s" s="83">
        <v>0</v>
      </c>
      <c r="Q21" t="s" s="83">
        <v>0</v>
      </c>
      <c r="R21" t="s" s="83">
        <v>0</v>
      </c>
      <c r="S21" s="83"/>
      <c r="T21" s="83"/>
    </row>
    <row r="22" ht="25.0" customHeight="true">
      <c r="B22" t="s" s="83">
        <v>84</v>
      </c>
      <c r="C22" t="s" s="83">
        <v>73</v>
      </c>
      <c r="D22" t="s" s="84">
        <v>0</v>
      </c>
      <c r="E22" t="s" s="83">
        <v>0</v>
      </c>
      <c r="F22" t="s" s="83">
        <v>0</v>
      </c>
      <c r="G22" t="s" s="83">
        <v>0</v>
      </c>
      <c r="H22" t="s" s="83">
        <v>0</v>
      </c>
      <c r="I22" s="83"/>
      <c r="J22" s="83"/>
      <c r="K22" t="s" s="89">
        <v>74</v>
      </c>
      <c r="L22" t="s" s="83">
        <v>75</v>
      </c>
      <c r="M22" t="s" s="83">
        <v>76</v>
      </c>
      <c r="N22" t="s" s="83">
        <v>0</v>
      </c>
      <c r="O22" t="s" s="83">
        <v>0</v>
      </c>
      <c r="P22" t="s" s="83">
        <v>0</v>
      </c>
      <c r="Q22" t="s" s="83">
        <v>0</v>
      </c>
      <c r="R22" t="s" s="83">
        <v>0</v>
      </c>
      <c r="S22" s="83"/>
      <c r="T22" s="83"/>
    </row>
    <row r="23" ht="25.0" customHeight="true">
      <c r="B23" t="s" s="83">
        <v>88</v>
      </c>
      <c r="C23" t="s" s="83">
        <v>85</v>
      </c>
      <c r="D23" t="s" s="83">
        <v>60</v>
      </c>
      <c r="E23" t="s" s="83">
        <v>61</v>
      </c>
      <c r="F23" t="s" s="83">
        <v>79</v>
      </c>
      <c r="G23" t="s" s="83">
        <v>89</v>
      </c>
      <c r="H23" t="s" s="83">
        <v>0</v>
      </c>
      <c r="I23" t="s" s="83">
        <v>90</v>
      </c>
      <c r="J23" t="s" s="83">
        <v>0</v>
      </c>
      <c r="K23" t="s" s="83">
        <v>65</v>
      </c>
      <c r="L23" t="s" s="83">
        <v>66</v>
      </c>
      <c r="M23" t="s" s="83">
        <v>67</v>
      </c>
      <c r="N23" t="s" s="83">
        <v>58</v>
      </c>
      <c r="O23" t="s" s="83">
        <v>82</v>
      </c>
      <c r="P23" t="s" s="83">
        <v>69</v>
      </c>
      <c r="Q23" t="s" s="83">
        <v>69</v>
      </c>
      <c r="R23" t="s" s="83">
        <v>70</v>
      </c>
      <c r="S23" t="s" s="83">
        <v>55</v>
      </c>
      <c r="T23" s="85">
        <f>949280*V1</f>
      </c>
    </row>
    <row r="24" ht="25.0" customHeight="true">
      <c r="B24" t="s" s="83">
        <v>88</v>
      </c>
      <c r="C24" t="s" s="83">
        <v>0</v>
      </c>
      <c r="D24" t="s" s="83">
        <v>0</v>
      </c>
      <c r="E24" t="s" s="83">
        <v>0</v>
      </c>
      <c r="F24" t="s" s="83">
        <v>83</v>
      </c>
      <c r="G24" t="s" s="83">
        <v>0</v>
      </c>
      <c r="H24" t="s" s="83">
        <v>0</v>
      </c>
      <c r="I24" t="s" s="83">
        <v>0</v>
      </c>
      <c r="J24" t="s" s="83">
        <v>0</v>
      </c>
      <c r="K24" t="s" s="83">
        <v>65</v>
      </c>
      <c r="L24" t="s" s="83">
        <v>66</v>
      </c>
      <c r="M24" t="s" s="83">
        <v>72</v>
      </c>
      <c r="N24" t="s" s="83">
        <v>0</v>
      </c>
      <c r="O24" t="s" s="83">
        <v>0</v>
      </c>
      <c r="P24" t="s" s="83">
        <v>0</v>
      </c>
      <c r="Q24" t="s" s="83">
        <v>0</v>
      </c>
      <c r="R24" t="s" s="83">
        <v>0</v>
      </c>
      <c r="S24" s="83"/>
      <c r="T24" s="83"/>
    </row>
    <row r="25" ht="25.0" customHeight="true">
      <c r="B25" t="s" s="83">
        <v>88</v>
      </c>
      <c r="C25" t="s" s="83">
        <v>73</v>
      </c>
      <c r="D25" t="s" s="84">
        <v>0</v>
      </c>
      <c r="E25" t="s" s="83">
        <v>0</v>
      </c>
      <c r="F25" t="s" s="83">
        <v>0</v>
      </c>
      <c r="G25" t="s" s="83">
        <v>0</v>
      </c>
      <c r="H25" t="s" s="83">
        <v>0</v>
      </c>
      <c r="I25" s="83"/>
      <c r="J25" s="83"/>
      <c r="K25" t="s" s="89">
        <v>74</v>
      </c>
      <c r="L25" t="s" s="83">
        <v>75</v>
      </c>
      <c r="M25" t="s" s="83">
        <v>76</v>
      </c>
      <c r="N25" t="s" s="83">
        <v>0</v>
      </c>
      <c r="O25" t="s" s="83">
        <v>0</v>
      </c>
      <c r="P25" t="s" s="83">
        <v>0</v>
      </c>
      <c r="Q25" t="s" s="83">
        <v>0</v>
      </c>
      <c r="R25" t="s" s="83">
        <v>0</v>
      </c>
      <c r="S25" s="83"/>
      <c r="T25" s="83"/>
    </row>
    <row r="26" ht="25.0" customHeight="true">
      <c r="B26" t="s" s="83">
        <v>91</v>
      </c>
      <c r="C26" t="s" s="83">
        <v>92</v>
      </c>
      <c r="D26" t="s" s="83">
        <v>93</v>
      </c>
      <c r="E26" t="s" s="83">
        <v>94</v>
      </c>
      <c r="F26" t="s" s="83">
        <v>62</v>
      </c>
      <c r="G26" t="s" s="83">
        <v>95</v>
      </c>
      <c r="H26" t="s" s="83">
        <v>0</v>
      </c>
      <c r="I26" t="s" s="83">
        <v>96</v>
      </c>
      <c r="J26" t="s" s="83">
        <v>0</v>
      </c>
      <c r="K26" t="s" s="83">
        <v>65</v>
      </c>
      <c r="L26" t="s" s="83">
        <v>66</v>
      </c>
      <c r="M26" t="s" s="83">
        <v>72</v>
      </c>
      <c r="N26" t="s" s="83">
        <v>58</v>
      </c>
      <c r="O26" t="s" s="83">
        <v>82</v>
      </c>
      <c r="P26" t="s" s="83">
        <v>69</v>
      </c>
      <c r="Q26" t="s" s="83">
        <v>69</v>
      </c>
      <c r="R26" t="s" s="83">
        <v>70</v>
      </c>
      <c r="S26" t="s" s="83">
        <v>55</v>
      </c>
      <c r="T26" s="85">
        <f>667722*V1</f>
      </c>
    </row>
    <row r="27" ht="25.0" customHeight="true">
      <c r="B27" t="s" s="83">
        <v>91</v>
      </c>
      <c r="C27" t="s" s="83">
        <v>0</v>
      </c>
      <c r="D27" t="s" s="83">
        <v>0</v>
      </c>
      <c r="E27" t="s" s="83">
        <v>0</v>
      </c>
      <c r="F27" t="s" s="83">
        <v>71</v>
      </c>
      <c r="G27" t="s" s="83">
        <v>0</v>
      </c>
      <c r="H27" t="s" s="83">
        <v>0</v>
      </c>
      <c r="I27" t="s" s="83">
        <v>0</v>
      </c>
      <c r="J27" t="s" s="83">
        <v>0</v>
      </c>
      <c r="K27" t="s" s="83">
        <v>65</v>
      </c>
      <c r="L27" t="s" s="83">
        <v>0</v>
      </c>
      <c r="M27" t="s" s="83">
        <v>97</v>
      </c>
      <c r="N27" t="s" s="83">
        <v>0</v>
      </c>
      <c r="O27" t="s" s="83">
        <v>0</v>
      </c>
      <c r="P27" t="s" s="83">
        <v>0</v>
      </c>
      <c r="Q27" t="s" s="83">
        <v>0</v>
      </c>
      <c r="R27" t="s" s="83">
        <v>0</v>
      </c>
      <c r="S27" s="83"/>
      <c r="T27" s="83"/>
    </row>
    <row r="28" ht="25.0" customHeight="true">
      <c r="B28" t="s" s="83">
        <v>91</v>
      </c>
      <c r="C28" t="s" s="83">
        <v>73</v>
      </c>
      <c r="D28" t="s" s="84">
        <v>0</v>
      </c>
      <c r="E28" t="s" s="83">
        <v>0</v>
      </c>
      <c r="F28" t="s" s="83">
        <v>0</v>
      </c>
      <c r="G28" t="s" s="83">
        <v>0</v>
      </c>
      <c r="H28" t="s" s="83">
        <v>0</v>
      </c>
      <c r="I28" s="83"/>
      <c r="J28" s="83"/>
      <c r="K28" t="s" s="89">
        <v>74</v>
      </c>
      <c r="L28" t="s" s="83">
        <v>75</v>
      </c>
      <c r="M28" t="s" s="83">
        <v>76</v>
      </c>
      <c r="N28" t="s" s="83">
        <v>0</v>
      </c>
      <c r="O28" t="s" s="83">
        <v>0</v>
      </c>
      <c r="P28" t="s" s="83">
        <v>0</v>
      </c>
      <c r="Q28" t="s" s="83">
        <v>0</v>
      </c>
      <c r="R28" t="s" s="83">
        <v>0</v>
      </c>
      <c r="S28" s="83"/>
      <c r="T28" s="83"/>
    </row>
    <row r="29" ht="25.0" customHeight="true">
      <c r="B29" t="s" s="83">
        <v>98</v>
      </c>
      <c r="C29" t="s" s="83">
        <v>92</v>
      </c>
      <c r="D29" t="s" s="83">
        <v>93</v>
      </c>
      <c r="E29" t="s" s="83">
        <v>94</v>
      </c>
      <c r="F29" t="s" s="83">
        <v>79</v>
      </c>
      <c r="G29" t="s" s="83">
        <v>99</v>
      </c>
      <c r="H29" t="s" s="83">
        <v>0</v>
      </c>
      <c r="I29" t="s" s="83">
        <v>100</v>
      </c>
      <c r="J29" t="s" s="83">
        <v>0</v>
      </c>
      <c r="K29" t="s" s="83">
        <v>65</v>
      </c>
      <c r="L29" t="s" s="83">
        <v>66</v>
      </c>
      <c r="M29" t="s" s="83">
        <v>72</v>
      </c>
      <c r="N29" t="s" s="83">
        <v>58</v>
      </c>
      <c r="O29" t="s" s="83">
        <v>82</v>
      </c>
      <c r="P29" t="s" s="83">
        <v>69</v>
      </c>
      <c r="Q29" t="s" s="83">
        <v>69</v>
      </c>
      <c r="R29" t="s" s="83">
        <v>70</v>
      </c>
      <c r="S29" t="s" s="83">
        <v>55</v>
      </c>
      <c r="T29" s="85">
        <f>289513*V1</f>
      </c>
    </row>
    <row r="30" ht="25.0" customHeight="true">
      <c r="B30" t="s" s="83">
        <v>98</v>
      </c>
      <c r="C30" t="s" s="83">
        <v>0</v>
      </c>
      <c r="D30" t="s" s="83">
        <v>0</v>
      </c>
      <c r="E30" t="s" s="83">
        <v>0</v>
      </c>
      <c r="F30" t="s" s="83">
        <v>83</v>
      </c>
      <c r="G30" t="s" s="83">
        <v>0</v>
      </c>
      <c r="H30" t="s" s="83">
        <v>0</v>
      </c>
      <c r="I30" t="s" s="83">
        <v>0</v>
      </c>
      <c r="J30" t="s" s="83">
        <v>0</v>
      </c>
      <c r="K30" t="s" s="83">
        <v>65</v>
      </c>
      <c r="L30" t="s" s="83">
        <v>0</v>
      </c>
      <c r="M30" t="s" s="83">
        <v>97</v>
      </c>
      <c r="N30" t="s" s="83">
        <v>0</v>
      </c>
      <c r="O30" t="s" s="83">
        <v>0</v>
      </c>
      <c r="P30" t="s" s="83">
        <v>0</v>
      </c>
      <c r="Q30" t="s" s="83">
        <v>0</v>
      </c>
      <c r="R30" t="s" s="83">
        <v>0</v>
      </c>
      <c r="S30" s="83"/>
      <c r="T30" s="83"/>
    </row>
    <row r="31" ht="25.0" customHeight="true">
      <c r="B31" t="s" s="83">
        <v>98</v>
      </c>
      <c r="C31" t="s" s="83">
        <v>73</v>
      </c>
      <c r="D31" t="s" s="84">
        <v>0</v>
      </c>
      <c r="E31" t="s" s="83">
        <v>0</v>
      </c>
      <c r="F31" t="s" s="83">
        <v>0</v>
      </c>
      <c r="G31" t="s" s="83">
        <v>0</v>
      </c>
      <c r="H31" t="s" s="83">
        <v>0</v>
      </c>
      <c r="I31" s="83"/>
      <c r="J31" s="83"/>
      <c r="K31" t="s" s="89">
        <v>74</v>
      </c>
      <c r="L31" t="s" s="83">
        <v>75</v>
      </c>
      <c r="M31" t="s" s="83">
        <v>76</v>
      </c>
      <c r="N31" t="s" s="83">
        <v>0</v>
      </c>
      <c r="O31" t="s" s="83">
        <v>0</v>
      </c>
      <c r="P31" t="s" s="83">
        <v>0</v>
      </c>
      <c r="Q31" t="s" s="83">
        <v>0</v>
      </c>
      <c r="R31" t="s" s="83">
        <v>0</v>
      </c>
      <c r="S31" s="83"/>
      <c r="T31" s="83"/>
    </row>
    <row r="32" ht="25.0" customHeight="true">
      <c r="B32" t="s" s="83">
        <v>101</v>
      </c>
      <c r="C32" t="s" s="83">
        <v>97</v>
      </c>
      <c r="D32" t="s" s="83">
        <v>102</v>
      </c>
      <c r="E32" t="s" s="83">
        <v>103</v>
      </c>
      <c r="F32" t="s" s="83">
        <v>97</v>
      </c>
      <c r="G32" t="s" s="83">
        <v>0</v>
      </c>
      <c r="H32" t="s" s="83">
        <v>0</v>
      </c>
      <c r="I32" t="s" s="83">
        <v>0</v>
      </c>
      <c r="J32" t="s" s="83">
        <v>0</v>
      </c>
      <c r="K32" t="s" s="83">
        <v>97</v>
      </c>
      <c r="L32" t="s" s="83">
        <v>0</v>
      </c>
      <c r="M32" t="s" s="83">
        <v>97</v>
      </c>
      <c r="N32" t="s" s="83">
        <v>58</v>
      </c>
      <c r="O32" t="s" s="83">
        <v>97</v>
      </c>
      <c r="P32" t="s" s="83">
        <v>0</v>
      </c>
      <c r="Q32" t="s" s="83">
        <v>0</v>
      </c>
      <c r="R32" t="s" s="83">
        <v>97</v>
      </c>
      <c r="S32" t="s" s="83">
        <v>97</v>
      </c>
      <c r="T32" s="85">
        <f>500000*V1</f>
      </c>
    </row>
    <row r="33" ht="25.0" customHeight="true">
      <c r="B33" t="s" s="83">
        <v>101</v>
      </c>
      <c r="C33" t="s" s="83">
        <v>0</v>
      </c>
      <c r="D33" t="s" s="83">
        <v>0</v>
      </c>
      <c r="E33" t="s" s="83">
        <v>0</v>
      </c>
      <c r="F33" t="s" s="83">
        <v>97</v>
      </c>
      <c r="G33" t="s" s="83">
        <v>0</v>
      </c>
      <c r="H33" t="s" s="83">
        <v>0</v>
      </c>
      <c r="I33" t="s" s="83">
        <v>0</v>
      </c>
      <c r="J33" t="s" s="83">
        <v>0</v>
      </c>
      <c r="K33" t="s" s="83">
        <v>97</v>
      </c>
      <c r="L33" t="s" s="83">
        <v>0</v>
      </c>
      <c r="M33" t="s" s="83">
        <v>97</v>
      </c>
      <c r="N33" t="s" s="83">
        <v>0</v>
      </c>
      <c r="O33" t="s" s="83">
        <v>0</v>
      </c>
      <c r="P33" t="s" s="83">
        <v>0</v>
      </c>
      <c r="Q33" t="s" s="83">
        <v>0</v>
      </c>
      <c r="R33" t="s" s="83">
        <v>0</v>
      </c>
      <c r="S33" s="83"/>
      <c r="T33" s="83"/>
    </row>
    <row r="34" ht="25.0" customHeight="true">
      <c r="B34" t="s" s="83">
        <v>101</v>
      </c>
      <c r="C34" t="s" s="83">
        <v>73</v>
      </c>
      <c r="D34" t="s" s="84">
        <v>0</v>
      </c>
      <c r="E34" t="s" s="83">
        <v>0</v>
      </c>
      <c r="F34" t="s" s="83">
        <v>0</v>
      </c>
      <c r="G34" t="s" s="83">
        <v>0</v>
      </c>
      <c r="H34" t="s" s="83">
        <v>0</v>
      </c>
      <c r="I34" s="83"/>
      <c r="J34" s="83"/>
      <c r="K34" t="s" s="83">
        <v>0</v>
      </c>
      <c r="L34" t="s" s="83">
        <v>0</v>
      </c>
      <c r="M34" t="s" s="83">
        <v>0</v>
      </c>
      <c r="N34" t="s" s="83">
        <v>0</v>
      </c>
      <c r="O34" t="s" s="83">
        <v>0</v>
      </c>
      <c r="P34" t="s" s="83">
        <v>0</v>
      </c>
      <c r="Q34" t="s" s="83">
        <v>0</v>
      </c>
      <c r="R34" t="s" s="83">
        <v>0</v>
      </c>
      <c r="S34" s="83"/>
      <c r="T34" s="83"/>
    </row>
    <row r="35" ht="25.0" customHeight="true">
      <c r="B35" t="s" s="83">
        <v>104</v>
      </c>
      <c r="C35" t="s" s="83">
        <v>97</v>
      </c>
      <c r="D35" t="s" s="83">
        <v>102</v>
      </c>
      <c r="E35" t="s" s="83">
        <v>105</v>
      </c>
      <c r="F35" t="s" s="83">
        <v>97</v>
      </c>
      <c r="G35" t="s" s="83">
        <v>0</v>
      </c>
      <c r="H35" t="s" s="83">
        <v>0</v>
      </c>
      <c r="I35" t="s" s="83">
        <v>0</v>
      </c>
      <c r="J35" t="s" s="83">
        <v>0</v>
      </c>
      <c r="K35" t="s" s="83">
        <v>97</v>
      </c>
      <c r="L35" t="s" s="83">
        <v>0</v>
      </c>
      <c r="M35" t="s" s="83">
        <v>97</v>
      </c>
      <c r="N35" t="s" s="83">
        <v>58</v>
      </c>
      <c r="O35" t="s" s="83">
        <v>97</v>
      </c>
      <c r="P35" t="s" s="83">
        <v>0</v>
      </c>
      <c r="Q35" t="s" s="83">
        <v>0</v>
      </c>
      <c r="R35" t="s" s="83">
        <v>97</v>
      </c>
      <c r="S35" t="s" s="83">
        <v>97</v>
      </c>
      <c r="T35" s="85">
        <f>650000*V1</f>
      </c>
    </row>
    <row r="36" ht="25.0" customHeight="true">
      <c r="B36" t="s" s="83">
        <v>104</v>
      </c>
      <c r="C36" t="s" s="83">
        <v>0</v>
      </c>
      <c r="D36" t="s" s="83">
        <v>0</v>
      </c>
      <c r="E36" t="s" s="83">
        <v>0</v>
      </c>
      <c r="F36" t="s" s="83">
        <v>97</v>
      </c>
      <c r="G36" t="s" s="83">
        <v>0</v>
      </c>
      <c r="H36" t="s" s="83">
        <v>0</v>
      </c>
      <c r="I36" t="s" s="83">
        <v>0</v>
      </c>
      <c r="J36" t="s" s="83">
        <v>0</v>
      </c>
      <c r="K36" t="s" s="83">
        <v>97</v>
      </c>
      <c r="L36" t="s" s="83">
        <v>0</v>
      </c>
      <c r="M36" t="s" s="83">
        <v>97</v>
      </c>
      <c r="N36" t="s" s="83">
        <v>0</v>
      </c>
      <c r="O36" t="s" s="83">
        <v>0</v>
      </c>
      <c r="P36" t="s" s="83">
        <v>0</v>
      </c>
      <c r="Q36" t="s" s="83">
        <v>0</v>
      </c>
      <c r="R36" t="s" s="83">
        <v>0</v>
      </c>
      <c r="S36" s="83"/>
      <c r="T36" s="83"/>
    </row>
    <row r="37" ht="25.0" customHeight="true">
      <c r="B37" t="s" s="83">
        <v>104</v>
      </c>
      <c r="C37" t="s" s="83">
        <v>73</v>
      </c>
      <c r="D37" t="s" s="84">
        <v>0</v>
      </c>
      <c r="E37" t="s" s="83">
        <v>0</v>
      </c>
      <c r="F37" t="s" s="83">
        <v>0</v>
      </c>
      <c r="G37" t="s" s="83">
        <v>0</v>
      </c>
      <c r="H37" t="s" s="83">
        <v>0</v>
      </c>
      <c r="I37" s="83"/>
      <c r="J37" s="83"/>
      <c r="K37" t="s" s="83">
        <v>0</v>
      </c>
      <c r="L37" t="s" s="83">
        <v>0</v>
      </c>
      <c r="M37" t="s" s="83">
        <v>0</v>
      </c>
      <c r="N37" t="s" s="83">
        <v>0</v>
      </c>
      <c r="O37" t="s" s="83">
        <v>0</v>
      </c>
      <c r="P37" t="s" s="83">
        <v>0</v>
      </c>
      <c r="Q37" t="s" s="83">
        <v>0</v>
      </c>
      <c r="R37" t="s" s="83">
        <v>0</v>
      </c>
      <c r="S37" s="83"/>
      <c r="T37" s="83"/>
    </row>
    <row r="38" ht="25.0" customHeight="true">
      <c r="B38" t="s" s="83">
        <v>106</v>
      </c>
      <c r="C38" t="s" s="83">
        <v>97</v>
      </c>
      <c r="D38" t="s" s="83">
        <v>102</v>
      </c>
      <c r="E38" t="s" s="83">
        <v>107</v>
      </c>
      <c r="F38" t="s" s="83">
        <v>97</v>
      </c>
      <c r="G38" t="s" s="83">
        <v>0</v>
      </c>
      <c r="H38" t="s" s="83">
        <v>0</v>
      </c>
      <c r="I38" t="s" s="83">
        <v>0</v>
      </c>
      <c r="J38" t="s" s="83">
        <v>0</v>
      </c>
      <c r="K38" t="s" s="83">
        <v>97</v>
      </c>
      <c r="L38" t="s" s="83">
        <v>0</v>
      </c>
      <c r="M38" t="s" s="83">
        <v>97</v>
      </c>
      <c r="N38" t="s" s="83">
        <v>58</v>
      </c>
      <c r="O38" t="s" s="83">
        <v>97</v>
      </c>
      <c r="P38" t="s" s="83">
        <v>0</v>
      </c>
      <c r="Q38" t="s" s="83">
        <v>0</v>
      </c>
      <c r="R38" t="s" s="83">
        <v>97</v>
      </c>
      <c r="S38" t="s" s="83">
        <v>97</v>
      </c>
      <c r="T38" s="85">
        <f>400000*V1</f>
      </c>
    </row>
    <row r="39" ht="25.0" customHeight="true">
      <c r="B39" t="s" s="83">
        <v>106</v>
      </c>
      <c r="C39" t="s" s="83">
        <v>0</v>
      </c>
      <c r="D39" t="s" s="83">
        <v>0</v>
      </c>
      <c r="E39" t="s" s="83">
        <v>0</v>
      </c>
      <c r="F39" t="s" s="83">
        <v>97</v>
      </c>
      <c r="G39" t="s" s="83">
        <v>0</v>
      </c>
      <c r="H39" t="s" s="83">
        <v>0</v>
      </c>
      <c r="I39" t="s" s="83">
        <v>0</v>
      </c>
      <c r="J39" t="s" s="83">
        <v>0</v>
      </c>
      <c r="K39" t="s" s="83">
        <v>97</v>
      </c>
      <c r="L39" t="s" s="83">
        <v>0</v>
      </c>
      <c r="M39" t="s" s="83">
        <v>97</v>
      </c>
      <c r="N39" t="s" s="83">
        <v>0</v>
      </c>
      <c r="O39" t="s" s="83">
        <v>0</v>
      </c>
      <c r="P39" t="s" s="83">
        <v>0</v>
      </c>
      <c r="Q39" t="s" s="83">
        <v>0</v>
      </c>
      <c r="R39" t="s" s="83">
        <v>0</v>
      </c>
      <c r="S39" s="83"/>
      <c r="T39" s="83"/>
    </row>
    <row r="40" ht="25.0" customHeight="true">
      <c r="B40" t="s" s="83">
        <v>106</v>
      </c>
      <c r="C40" t="s" s="83">
        <v>73</v>
      </c>
      <c r="D40" t="s" s="84">
        <v>0</v>
      </c>
      <c r="E40" t="s" s="83">
        <v>0</v>
      </c>
      <c r="F40" t="s" s="83">
        <v>0</v>
      </c>
      <c r="G40" t="s" s="83">
        <v>0</v>
      </c>
      <c r="H40" t="s" s="83">
        <v>0</v>
      </c>
      <c r="I40" s="83"/>
      <c r="J40" s="83"/>
      <c r="K40" t="s" s="83">
        <v>0</v>
      </c>
      <c r="L40" t="s" s="83">
        <v>0</v>
      </c>
      <c r="M40" t="s" s="83">
        <v>0</v>
      </c>
      <c r="N40" t="s" s="83">
        <v>0</v>
      </c>
      <c r="O40" t="s" s="83">
        <v>0</v>
      </c>
      <c r="P40" t="s" s="83">
        <v>0</v>
      </c>
      <c r="Q40" t="s" s="83">
        <v>0</v>
      </c>
      <c r="R40" t="s" s="83">
        <v>0</v>
      </c>
      <c r="S40" s="83"/>
      <c r="T40" s="83"/>
    </row>
    <row r="41" ht="25.0" customHeight="true">
      <c r="B41" t="s" s="83">
        <v>108</v>
      </c>
      <c r="C41" t="s" s="83">
        <v>97</v>
      </c>
      <c r="D41" t="s" s="83">
        <v>102</v>
      </c>
      <c r="E41" t="s" s="83">
        <v>109</v>
      </c>
      <c r="F41" t="s" s="83">
        <v>97</v>
      </c>
      <c r="G41" t="s" s="83">
        <v>0</v>
      </c>
      <c r="H41" t="s" s="83">
        <v>0</v>
      </c>
      <c r="I41" t="s" s="83">
        <v>0</v>
      </c>
      <c r="J41" t="s" s="83">
        <v>0</v>
      </c>
      <c r="K41" t="s" s="83">
        <v>97</v>
      </c>
      <c r="L41" t="s" s="83">
        <v>0</v>
      </c>
      <c r="M41" t="s" s="83">
        <v>97</v>
      </c>
      <c r="N41" t="s" s="83">
        <v>58</v>
      </c>
      <c r="O41" t="s" s="83">
        <v>97</v>
      </c>
      <c r="P41" t="s" s="83">
        <v>0</v>
      </c>
      <c r="Q41" t="s" s="83">
        <v>0</v>
      </c>
      <c r="R41" t="s" s="83">
        <v>97</v>
      </c>
      <c r="S41" t="s" s="83">
        <v>97</v>
      </c>
      <c r="T41" s="85">
        <f>300000*V1</f>
      </c>
    </row>
    <row r="42" ht="25.0" customHeight="true">
      <c r="B42" t="s" s="83">
        <v>108</v>
      </c>
      <c r="C42" t="s" s="83">
        <v>0</v>
      </c>
      <c r="D42" t="s" s="83">
        <v>0</v>
      </c>
      <c r="E42" t="s" s="83">
        <v>0</v>
      </c>
      <c r="F42" t="s" s="83">
        <v>97</v>
      </c>
      <c r="G42" t="s" s="83">
        <v>0</v>
      </c>
      <c r="H42" t="s" s="83">
        <v>0</v>
      </c>
      <c r="I42" t="s" s="83">
        <v>0</v>
      </c>
      <c r="J42" t="s" s="83">
        <v>0</v>
      </c>
      <c r="K42" t="s" s="83">
        <v>97</v>
      </c>
      <c r="L42" t="s" s="83">
        <v>0</v>
      </c>
      <c r="M42" t="s" s="83">
        <v>97</v>
      </c>
      <c r="N42" t="s" s="83">
        <v>0</v>
      </c>
      <c r="O42" t="s" s="83">
        <v>0</v>
      </c>
      <c r="P42" t="s" s="83">
        <v>0</v>
      </c>
      <c r="Q42" t="s" s="83">
        <v>0</v>
      </c>
      <c r="R42" t="s" s="83">
        <v>0</v>
      </c>
      <c r="S42" s="83"/>
      <c r="T42" s="83"/>
    </row>
    <row r="43" ht="25.0" customHeight="true">
      <c r="B43" t="s" s="83">
        <v>108</v>
      </c>
      <c r="C43" t="s" s="83">
        <v>73</v>
      </c>
      <c r="D43" t="s" s="84">
        <v>0</v>
      </c>
      <c r="E43" t="s" s="83">
        <v>0</v>
      </c>
      <c r="F43" t="s" s="83">
        <v>0</v>
      </c>
      <c r="G43" t="s" s="83">
        <v>0</v>
      </c>
      <c r="H43" t="s" s="83">
        <v>0</v>
      </c>
      <c r="I43" s="83"/>
      <c r="J43" s="83"/>
      <c r="K43" t="s" s="83">
        <v>0</v>
      </c>
      <c r="L43" t="s" s="83">
        <v>0</v>
      </c>
      <c r="M43" t="s" s="83">
        <v>0</v>
      </c>
      <c r="N43" t="s" s="83">
        <v>0</v>
      </c>
      <c r="O43" t="s" s="83">
        <v>0</v>
      </c>
      <c r="P43" t="s" s="83">
        <v>0</v>
      </c>
      <c r="Q43" t="s" s="83">
        <v>0</v>
      </c>
      <c r="R43" t="s" s="83">
        <v>0</v>
      </c>
      <c r="S43" s="83"/>
      <c r="T43" s="83"/>
    </row>
    <row r="44" ht="25.0" customHeight="true">
      <c r="B44" t="s" s="83">
        <v>110</v>
      </c>
      <c r="C44" t="s" s="83">
        <v>97</v>
      </c>
      <c r="D44" t="s" s="83">
        <v>102</v>
      </c>
      <c r="E44" t="s" s="83">
        <v>111</v>
      </c>
      <c r="F44" t="s" s="83">
        <v>97</v>
      </c>
      <c r="G44" t="s" s="83">
        <v>0</v>
      </c>
      <c r="H44" t="s" s="83">
        <v>0</v>
      </c>
      <c r="I44" t="s" s="83">
        <v>0</v>
      </c>
      <c r="J44" t="s" s="83">
        <v>0</v>
      </c>
      <c r="K44" t="s" s="83">
        <v>97</v>
      </c>
      <c r="L44" t="s" s="83">
        <v>0</v>
      </c>
      <c r="M44" t="s" s="83">
        <v>97</v>
      </c>
      <c r="N44" t="s" s="83">
        <v>58</v>
      </c>
      <c r="O44" t="s" s="83">
        <v>97</v>
      </c>
      <c r="P44" t="s" s="83">
        <v>0</v>
      </c>
      <c r="Q44" t="s" s="83">
        <v>0</v>
      </c>
      <c r="R44" t="s" s="83">
        <v>97</v>
      </c>
      <c r="S44" t="s" s="83">
        <v>97</v>
      </c>
      <c r="T44" s="85">
        <f>200000*V1</f>
      </c>
    </row>
    <row r="45" ht="25.0" customHeight="true">
      <c r="B45" t="s" s="83">
        <v>110</v>
      </c>
      <c r="C45" t="s" s="83">
        <v>0</v>
      </c>
      <c r="D45" t="s" s="83">
        <v>0</v>
      </c>
      <c r="E45" t="s" s="83">
        <v>0</v>
      </c>
      <c r="F45" t="s" s="83">
        <v>97</v>
      </c>
      <c r="G45" t="s" s="83">
        <v>0</v>
      </c>
      <c r="H45" t="s" s="83">
        <v>0</v>
      </c>
      <c r="I45" t="s" s="83">
        <v>0</v>
      </c>
      <c r="J45" t="s" s="83">
        <v>0</v>
      </c>
      <c r="K45" t="s" s="83">
        <v>97</v>
      </c>
      <c r="L45" t="s" s="83">
        <v>0</v>
      </c>
      <c r="M45" t="s" s="83">
        <v>97</v>
      </c>
      <c r="N45" t="s" s="83">
        <v>0</v>
      </c>
      <c r="O45" t="s" s="83">
        <v>0</v>
      </c>
      <c r="P45" t="s" s="83">
        <v>0</v>
      </c>
      <c r="Q45" t="s" s="83">
        <v>0</v>
      </c>
      <c r="R45" t="s" s="83">
        <v>0</v>
      </c>
      <c r="S45" s="83"/>
      <c r="T45" s="83"/>
    </row>
    <row r="46" ht="25.0" customHeight="true">
      <c r="B46" t="s" s="83">
        <v>110</v>
      </c>
      <c r="C46" t="s" s="83">
        <v>73</v>
      </c>
      <c r="D46" t="s" s="84">
        <v>0</v>
      </c>
      <c r="E46" t="s" s="83">
        <v>0</v>
      </c>
      <c r="F46" t="s" s="83">
        <v>0</v>
      </c>
      <c r="G46" t="s" s="83">
        <v>0</v>
      </c>
      <c r="H46" t="s" s="83">
        <v>0</v>
      </c>
      <c r="I46" s="83"/>
      <c r="J46" s="83"/>
      <c r="K46" t="s" s="83">
        <v>0</v>
      </c>
      <c r="L46" t="s" s="83">
        <v>0</v>
      </c>
      <c r="M46" t="s" s="83">
        <v>0</v>
      </c>
      <c r="N46" t="s" s="83">
        <v>0</v>
      </c>
      <c r="O46" t="s" s="83">
        <v>0</v>
      </c>
      <c r="P46" t="s" s="83">
        <v>0</v>
      </c>
      <c r="Q46" t="s" s="83">
        <v>0</v>
      </c>
      <c r="R46" t="s" s="83">
        <v>0</v>
      </c>
      <c r="S46" s="83"/>
      <c r="T46" s="83"/>
    </row>
    <row r="47" spans="2:22" ht="24.95" customHeight="1" x14ac:dyDescent="0.3">
      <c r="B47" s="46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8"/>
      <c r="R47" s="46" t="s">
        <v>20</v>
      </c>
      <c r="S47" s="48"/>
      <c r="T47" s="85">
        <f>SUM(T14:T46)</f>
      </c>
    </row>
    <row r="48" spans="2:22" x14ac:dyDescent="0.3">
      <c r="B48" s="32" t="s">
        <v>16</v>
      </c>
      <c r="C48" s="33"/>
      <c r="D48" s="33"/>
      <c r="E48" s="34" t="s">
        <v>0</v>
      </c>
      <c r="F48" s="35" t="s">
        <v>0</v>
      </c>
      <c r="G48" s="35" t="s">
        <v>0</v>
      </c>
      <c r="H48" s="35" t="s">
        <v>0</v>
      </c>
      <c r="I48" s="35"/>
      <c r="J48" s="35"/>
      <c r="K48" s="35" t="s">
        <v>0</v>
      </c>
      <c r="L48" s="36" t="s">
        <v>0</v>
      </c>
      <c r="M48" s="36" t="s">
        <v>0</v>
      </c>
      <c r="N48" s="36" t="s">
        <v>0</v>
      </c>
      <c r="O48" s="36" t="s">
        <v>0</v>
      </c>
      <c r="P48" s="36" t="s">
        <v>0</v>
      </c>
      <c r="Q48" s="36" t="s">
        <v>0</v>
      </c>
      <c r="R48" s="49" t="s">
        <v>35</v>
      </c>
      <c r="S48" s="49"/>
      <c r="T48" s="85">
        <f>ROUND(T47*0.1,0)</f>
      </c>
    </row>
    <row r="49" spans="2:22" x14ac:dyDescent="0.3">
      <c r="B49" t="s" s="87">
        <v>0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8"/>
    </row>
    <row r="50" spans="2:20" x14ac:dyDescent="0.3">
      <c r="B50" s="18"/>
      <c r="T50" s="10"/>
    </row>
    <row r="51" spans="2:20" x14ac:dyDescent="0.3">
      <c r="B51" s="18"/>
      <c r="T51" s="10"/>
    </row>
    <row r="52" spans="2:20" x14ac:dyDescent="0.3">
      <c r="B52" s="18"/>
      <c r="T52" s="10"/>
    </row>
    <row r="53" spans="2:20" x14ac:dyDescent="0.3">
      <c r="B53" s="18"/>
      <c r="T53" s="10"/>
    </row>
    <row r="54" spans="2:20" x14ac:dyDescent="0.3">
      <c r="B54" t="s" s="88">
        <v>112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1"/>
    </row>
  </sheetData>
  <mergeCells count="213">
    <mergeCell ref="G12:H12"/>
    <mergeCell ref="I12:J12"/>
    <mergeCell ref="N9:Q9"/>
    <mergeCell ref="R8:T8"/>
    <mergeCell ref="R9:T9"/>
    <mergeCell ref="T12:T13"/>
    <mergeCell ref="R12:R13"/>
    <mergeCell ref="S12:S13"/>
    <mergeCell ref="N12:N13"/>
    <mergeCell ref="P12:P13"/>
    <mergeCell ref="Q12:Q13"/>
    <mergeCell ref="N6:Q6"/>
    <mergeCell ref="R6:T6"/>
    <mergeCell ref="N7:Q7"/>
    <mergeCell ref="R7:T7"/>
    <mergeCell ref="N8:Q8"/>
    <mergeCell ref="E12:E13"/>
    <mergeCell ref="B9:C9"/>
    <mergeCell ref="B7:C7"/>
    <mergeCell ref="B8:C8"/>
    <mergeCell ref="D9:F9"/>
    <mergeCell ref="B1:M4"/>
    <mergeCell ref="B5:C5"/>
    <mergeCell ref="B6:C6"/>
    <mergeCell ref="D6:F6"/>
    <mergeCell ref="H6:K6"/>
    <mergeCell ref="H9:K9"/>
    <mergeCell ref="D7:K7"/>
    <mergeCell ref="D8:K8"/>
    <mergeCell ref="B11:C11"/>
    <mergeCell ref="B12:B13"/>
    <mergeCell ref="C12:C13"/>
    <mergeCell ref="D12:D13"/>
    <mergeCell ref="F12:F13"/>
    <mergeCell ref="B14:B16"/>
    <mergeCell ref="C14:C15"/>
    <mergeCell ref="D14:D15"/>
    <mergeCell ref="G14:H14"/>
    <mergeCell ref="I14:J14"/>
    <mergeCell ref="N14:N15"/>
    <mergeCell ref="O14:O15"/>
    <mergeCell ref="P14:P16"/>
    <mergeCell ref="Q14:Q16"/>
    <mergeCell ref="R14:R16"/>
    <mergeCell ref="S14:S16"/>
    <mergeCell ref="T14:T16"/>
    <mergeCell ref="D16:J16"/>
    <mergeCell ref="B17:B19"/>
    <mergeCell ref="C17:C18"/>
    <mergeCell ref="D17:D18"/>
    <mergeCell ref="G17:H17"/>
    <mergeCell ref="I17:J17"/>
    <mergeCell ref="N17:N18"/>
    <mergeCell ref="O17:O18"/>
    <mergeCell ref="P17:P19"/>
    <mergeCell ref="Q17:Q19"/>
    <mergeCell ref="R17:R19"/>
    <mergeCell ref="S17:S19"/>
    <mergeCell ref="T17:T19"/>
    <mergeCell ref="D19:J19"/>
    <mergeCell ref="B20:B22"/>
    <mergeCell ref="C20:C21"/>
    <mergeCell ref="D20:D21"/>
    <mergeCell ref="G20:H20"/>
    <mergeCell ref="I20:J20"/>
    <mergeCell ref="N20:N21"/>
    <mergeCell ref="O20:O21"/>
    <mergeCell ref="P20:P22"/>
    <mergeCell ref="Q20:Q22"/>
    <mergeCell ref="R20:R22"/>
    <mergeCell ref="S20:S22"/>
    <mergeCell ref="T20:T22"/>
    <mergeCell ref="D22:J22"/>
    <mergeCell ref="B23:B25"/>
    <mergeCell ref="C23:C24"/>
    <mergeCell ref="D23:D24"/>
    <mergeCell ref="G23:H23"/>
    <mergeCell ref="I23:J23"/>
    <mergeCell ref="N23:N24"/>
    <mergeCell ref="O23:O24"/>
    <mergeCell ref="P23:P25"/>
    <mergeCell ref="Q23:Q25"/>
    <mergeCell ref="R23:R25"/>
    <mergeCell ref="S23:S25"/>
    <mergeCell ref="T23:T25"/>
    <mergeCell ref="D25:J25"/>
    <mergeCell ref="B26:B28"/>
    <mergeCell ref="C26:C27"/>
    <mergeCell ref="D26:D27"/>
    <mergeCell ref="G26:H26"/>
    <mergeCell ref="I26:J26"/>
    <mergeCell ref="N26:N27"/>
    <mergeCell ref="O26:O27"/>
    <mergeCell ref="P26:P28"/>
    <mergeCell ref="Q26:Q28"/>
    <mergeCell ref="R26:R28"/>
    <mergeCell ref="S26:S28"/>
    <mergeCell ref="T26:T28"/>
    <mergeCell ref="D28:J28"/>
    <mergeCell ref="B29:B31"/>
    <mergeCell ref="C29:C30"/>
    <mergeCell ref="D29:D30"/>
    <mergeCell ref="G29:H29"/>
    <mergeCell ref="I29:J29"/>
    <mergeCell ref="N29:N30"/>
    <mergeCell ref="O29:O30"/>
    <mergeCell ref="P29:P31"/>
    <mergeCell ref="Q29:Q31"/>
    <mergeCell ref="R29:R31"/>
    <mergeCell ref="S29:S31"/>
    <mergeCell ref="T29:T31"/>
    <mergeCell ref="D31:J31"/>
    <mergeCell ref="B32:B34"/>
    <mergeCell ref="C32:C33"/>
    <mergeCell ref="D32:D33"/>
    <mergeCell ref="G32:H32"/>
    <mergeCell ref="I32:J32"/>
    <mergeCell ref="N32:N33"/>
    <mergeCell ref="O32:O33"/>
    <mergeCell ref="P32:P34"/>
    <mergeCell ref="Q32:Q34"/>
    <mergeCell ref="R32:R34"/>
    <mergeCell ref="S32:S34"/>
    <mergeCell ref="T32:T34"/>
    <mergeCell ref="D34:J34"/>
    <mergeCell ref="B35:B37"/>
    <mergeCell ref="C35:C36"/>
    <mergeCell ref="D35:D36"/>
    <mergeCell ref="G35:H35"/>
    <mergeCell ref="I35:J35"/>
    <mergeCell ref="N35:N36"/>
    <mergeCell ref="O35:O36"/>
    <mergeCell ref="P35:P37"/>
    <mergeCell ref="Q35:Q37"/>
    <mergeCell ref="R35:R37"/>
    <mergeCell ref="S35:S37"/>
    <mergeCell ref="T35:T37"/>
    <mergeCell ref="D37:J37"/>
    <mergeCell ref="B38:B40"/>
    <mergeCell ref="C38:C39"/>
    <mergeCell ref="D38:D39"/>
    <mergeCell ref="G38:H38"/>
    <mergeCell ref="I38:J38"/>
    <mergeCell ref="N38:N39"/>
    <mergeCell ref="O38:O39"/>
    <mergeCell ref="P38:P40"/>
    <mergeCell ref="Q38:Q40"/>
    <mergeCell ref="R38:R40"/>
    <mergeCell ref="S38:S40"/>
    <mergeCell ref="T38:T40"/>
    <mergeCell ref="D40:J40"/>
    <mergeCell ref="B41:B43"/>
    <mergeCell ref="C41:C42"/>
    <mergeCell ref="D41:D42"/>
    <mergeCell ref="G41:H41"/>
    <mergeCell ref="I41:J41"/>
    <mergeCell ref="N41:N42"/>
    <mergeCell ref="O41:O42"/>
    <mergeCell ref="P41:P43"/>
    <mergeCell ref="Q41:Q43"/>
    <mergeCell ref="R41:R43"/>
    <mergeCell ref="S41:S43"/>
    <mergeCell ref="T41:T43"/>
    <mergeCell ref="D43:J43"/>
    <mergeCell ref="B47:Q47"/>
    <mergeCell ref="R47:S47"/>
    <mergeCell ref="R48:S48"/>
    <mergeCell ref="B44:B46"/>
    <mergeCell ref="C44:C45"/>
    <mergeCell ref="D44:D45"/>
    <mergeCell ref="G44:H44"/>
    <mergeCell ref="I44:J44"/>
    <mergeCell ref="N44:N45"/>
    <mergeCell ref="O44:O45"/>
    <mergeCell ref="P44:P46"/>
    <mergeCell ref="Q44:Q46"/>
    <mergeCell ref="R44:R46"/>
    <mergeCell ref="S44:S46"/>
    <mergeCell ref="T44:T46"/>
    <mergeCell ref="D46:J46"/>
  </mergeCells>
  <phoneticPr fontId="2" type="noConversion"/>
  <pageMargins left="0.25" right="0.25" top="0.75" bottom="0.75" header="0.3" footer="0.3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2022-07-01T02:28:29Z</dcterms:created>
  <dc:creator>user</dc:creator>
  <cp:lastModifiedBy>office</cp:lastModifiedBy>
  <cp:lastPrinted>2025-06-11T01:16:06Z</cp:lastPrinted>
  <dcterms:modified xsi:type="dcterms:W3CDTF">2025-11-06T02:43:22Z</dcterms:modified>
</cp:coreProperties>
</file>